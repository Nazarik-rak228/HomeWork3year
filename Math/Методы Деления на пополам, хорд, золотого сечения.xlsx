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nazar\Documents\study\P-8-24-Study\3й курс\Math\"/>
    </mc:Choice>
  </mc:AlternateContent>
  <xr:revisionPtr revIDLastSave="0" documentId="13_ncr:1_{3E4A2E26-1423-43DD-9076-4B33550F3F97}" xr6:coauthVersionLast="47" xr6:coauthVersionMax="47" xr10:uidLastSave="{00000000-0000-0000-0000-000000000000}"/>
  <bookViews>
    <workbookView xWindow="0" yWindow="0" windowWidth="28800" windowHeight="16200" activeTab="4" xr2:uid="{00000000-000D-0000-FFFF-FFFF00000000}"/>
  </bookViews>
  <sheets>
    <sheet name="метод деления на два" sheetId="1" r:id="rId1"/>
    <sheet name="Метод золотого сечения " sheetId="2" r:id="rId2"/>
    <sheet name="Мктод хорд" sheetId="3" r:id="rId3"/>
    <sheet name="метод простых итераций" sheetId="4" r:id="rId4"/>
    <sheet name="мотод ньютена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3" i="5"/>
  <c r="A4" i="5"/>
  <c r="B4" i="5"/>
  <c r="C4" i="5"/>
  <c r="D4" i="5"/>
  <c r="A5" i="5"/>
  <c r="B5" i="5"/>
  <c r="C5" i="5"/>
  <c r="D5" i="5"/>
  <c r="A6" i="5"/>
  <c r="A7" i="5" s="1"/>
  <c r="B6" i="5"/>
  <c r="C6" i="5"/>
  <c r="D6" i="5"/>
  <c r="D3" i="5"/>
  <c r="C3" i="5"/>
  <c r="B3" i="5"/>
  <c r="A3" i="5"/>
  <c r="C2" i="5"/>
  <c r="B2" i="5"/>
  <c r="F4" i="4"/>
  <c r="F5" i="4"/>
  <c r="F6" i="4"/>
  <c r="F7" i="4"/>
  <c r="F8" i="4"/>
  <c r="F3" i="4"/>
  <c r="A4" i="4"/>
  <c r="B4" i="4"/>
  <c r="C4" i="4"/>
  <c r="A5" i="4"/>
  <c r="B5" i="4"/>
  <c r="C5" i="4"/>
  <c r="A6" i="4"/>
  <c r="B6" i="4" s="1"/>
  <c r="A7" i="4" s="1"/>
  <c r="I3" i="3"/>
  <c r="C3" i="4"/>
  <c r="B3" i="4"/>
  <c r="A3" i="4"/>
  <c r="B2" i="4"/>
  <c r="I4" i="3"/>
  <c r="I5" i="3"/>
  <c r="I6" i="3"/>
  <c r="I7" i="3"/>
  <c r="I8" i="3"/>
  <c r="A9" i="2"/>
  <c r="B9" i="2"/>
  <c r="C9" i="2"/>
  <c r="G10" i="2" s="1"/>
  <c r="I10" i="2" s="1"/>
  <c r="D9" i="2"/>
  <c r="E9" i="2"/>
  <c r="F9" i="2"/>
  <c r="G9" i="2"/>
  <c r="I9" i="2" s="1"/>
  <c r="A10" i="2"/>
  <c r="B10" i="2"/>
  <c r="E10" i="2" s="1"/>
  <c r="C10" i="2"/>
  <c r="D10" i="2"/>
  <c r="I8" i="2"/>
  <c r="I4" i="2"/>
  <c r="I5" i="2"/>
  <c r="I6" i="2"/>
  <c r="I7" i="2"/>
  <c r="I3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A10" i="1"/>
  <c r="B10" i="1"/>
  <c r="C10" i="1"/>
  <c r="G11" i="1" s="1"/>
  <c r="D10" i="1"/>
  <c r="E10" i="1"/>
  <c r="F10" i="1"/>
  <c r="G10" i="1"/>
  <c r="A11" i="1"/>
  <c r="B11" i="1"/>
  <c r="C11" i="1"/>
  <c r="F11" i="1" s="1"/>
  <c r="D11" i="1"/>
  <c r="B12" i="1" s="1"/>
  <c r="E12" i="1" s="1"/>
  <c r="E11" i="1"/>
  <c r="A4" i="1"/>
  <c r="B4" i="1"/>
  <c r="C4" i="1"/>
  <c r="G5" i="1" s="1"/>
  <c r="D4" i="1"/>
  <c r="E4" i="1"/>
  <c r="F4" i="1"/>
  <c r="G4" i="1"/>
  <c r="A5" i="1"/>
  <c r="B5" i="1"/>
  <c r="C5" i="1"/>
  <c r="F5" i="1" s="1"/>
  <c r="D5" i="1"/>
  <c r="E5" i="1"/>
  <c r="G3" i="2"/>
  <c r="G3" i="1"/>
  <c r="A4" i="3"/>
  <c r="B4" i="3"/>
  <c r="D4" i="3"/>
  <c r="C4" i="3" s="1"/>
  <c r="E4" i="3"/>
  <c r="G3" i="3"/>
  <c r="D3" i="3"/>
  <c r="C3" i="3" s="1"/>
  <c r="F3" i="3" s="1"/>
  <c r="E3" i="3"/>
  <c r="C2" i="3"/>
  <c r="F2" i="3" s="1"/>
  <c r="E2" i="3"/>
  <c r="D2" i="3"/>
  <c r="A4" i="2"/>
  <c r="B4" i="2"/>
  <c r="C4" i="2"/>
  <c r="G5" i="2" s="1"/>
  <c r="D4" i="2"/>
  <c r="E4" i="2"/>
  <c r="F4" i="2"/>
  <c r="G4" i="2"/>
  <c r="A5" i="2"/>
  <c r="B5" i="2"/>
  <c r="C5" i="2"/>
  <c r="F5" i="2" s="1"/>
  <c r="D5" i="2"/>
  <c r="E5" i="2"/>
  <c r="C2" i="2"/>
  <c r="E2" i="2"/>
  <c r="D2" i="2"/>
  <c r="C3" i="1"/>
  <c r="C2" i="1"/>
  <c r="A3" i="1"/>
  <c r="D3" i="1"/>
  <c r="E3" i="1"/>
  <c r="F3" i="1"/>
  <c r="B3" i="1"/>
  <c r="F2" i="1"/>
  <c r="E2" i="1"/>
  <c r="D2" i="1"/>
  <c r="B7" i="5" l="1"/>
  <c r="C7" i="5"/>
  <c r="A8" i="5"/>
  <c r="D8" i="5"/>
  <c r="D7" i="5"/>
  <c r="B7" i="4"/>
  <c r="A8" i="4" s="1"/>
  <c r="C7" i="4"/>
  <c r="C6" i="4"/>
  <c r="F10" i="2"/>
  <c r="B11" i="2" s="1"/>
  <c r="E11" i="2" s="1"/>
  <c r="A12" i="1"/>
  <c r="B6" i="1"/>
  <c r="E6" i="1" s="1"/>
  <c r="A6" i="1"/>
  <c r="F4" i="3"/>
  <c r="G4" i="3"/>
  <c r="B3" i="3"/>
  <c r="A3" i="3"/>
  <c r="A6" i="2"/>
  <c r="B6" i="2"/>
  <c r="E6" i="2" s="1"/>
  <c r="F2" i="2"/>
  <c r="B3" i="2" s="1"/>
  <c r="E3" i="2" s="1"/>
  <c r="B8" i="5" l="1"/>
  <c r="C8" i="5"/>
  <c r="B8" i="4"/>
  <c r="C8" i="4"/>
  <c r="A11" i="2"/>
  <c r="D12" i="1"/>
  <c r="C12" i="1"/>
  <c r="C6" i="1"/>
  <c r="D6" i="1"/>
  <c r="A5" i="3"/>
  <c r="B5" i="3"/>
  <c r="E5" i="3" s="1"/>
  <c r="C6" i="2"/>
  <c r="D6" i="2"/>
  <c r="A3" i="2"/>
  <c r="D3" i="2" s="1"/>
  <c r="C11" i="2" l="1"/>
  <c r="D11" i="2"/>
  <c r="F12" i="1"/>
  <c r="G12" i="1"/>
  <c r="A13" i="1"/>
  <c r="B13" i="1"/>
  <c r="E13" i="1" s="1"/>
  <c r="F6" i="1"/>
  <c r="A7" i="1" s="1"/>
  <c r="G6" i="1"/>
  <c r="D5" i="3"/>
  <c r="F6" i="2"/>
  <c r="B7" i="2" s="1"/>
  <c r="E7" i="2" s="1"/>
  <c r="G6" i="2"/>
  <c r="C3" i="2"/>
  <c r="F3" i="2" s="1"/>
  <c r="F11" i="2" l="1"/>
  <c r="A12" i="2" s="1"/>
  <c r="G11" i="2"/>
  <c r="I11" i="2" s="1"/>
  <c r="D13" i="1"/>
  <c r="C13" i="1"/>
  <c r="D7" i="1"/>
  <c r="B7" i="1"/>
  <c r="E7" i="1" s="1"/>
  <c r="C5" i="3"/>
  <c r="A7" i="2"/>
  <c r="D12" i="2" l="1"/>
  <c r="B12" i="2"/>
  <c r="E12" i="2" s="1"/>
  <c r="F13" i="1"/>
  <c r="G13" i="1"/>
  <c r="A14" i="1"/>
  <c r="B14" i="1"/>
  <c r="E14" i="1" s="1"/>
  <c r="C7" i="1"/>
  <c r="F5" i="3"/>
  <c r="G5" i="3"/>
  <c r="D7" i="2"/>
  <c r="C7" i="2"/>
  <c r="C12" i="2" l="1"/>
  <c r="C14" i="1"/>
  <c r="D14" i="1"/>
  <c r="F7" i="1"/>
  <c r="G7" i="1"/>
  <c r="A6" i="3"/>
  <c r="B6" i="3"/>
  <c r="E6" i="3" s="1"/>
  <c r="F7" i="2"/>
  <c r="G7" i="2"/>
  <c r="A8" i="2"/>
  <c r="B8" i="2"/>
  <c r="E8" i="2" s="1"/>
  <c r="F12" i="2" l="1"/>
  <c r="G12" i="2"/>
  <c r="I12" i="2" s="1"/>
  <c r="F14" i="1"/>
  <c r="B15" i="1" s="1"/>
  <c r="E15" i="1" s="1"/>
  <c r="G14" i="1"/>
  <c r="B8" i="1"/>
  <c r="E8" i="1" s="1"/>
  <c r="A8" i="1"/>
  <c r="D6" i="3"/>
  <c r="C8" i="2"/>
  <c r="D8" i="2"/>
  <c r="A15" i="1" l="1"/>
  <c r="C8" i="1"/>
  <c r="D8" i="1"/>
  <c r="C6" i="3"/>
  <c r="F8" i="2"/>
  <c r="G8" i="2"/>
  <c r="C15" i="1" l="1"/>
  <c r="D15" i="1"/>
  <c r="F8" i="1"/>
  <c r="B9" i="1" s="1"/>
  <c r="E9" i="1" s="1"/>
  <c r="G8" i="1"/>
  <c r="F6" i="3"/>
  <c r="G6" i="3"/>
  <c r="F15" i="1" l="1"/>
  <c r="A16" i="1" s="1"/>
  <c r="G15" i="1"/>
  <c r="A9" i="1"/>
  <c r="A7" i="3"/>
  <c r="B7" i="3"/>
  <c r="E7" i="3" s="1"/>
  <c r="D16" i="1" l="1"/>
  <c r="B16" i="1"/>
  <c r="E16" i="1" s="1"/>
  <c r="C9" i="1"/>
  <c r="D9" i="1"/>
  <c r="D7" i="3"/>
  <c r="C16" i="1" l="1"/>
  <c r="F9" i="1"/>
  <c r="G9" i="1"/>
  <c r="C7" i="3"/>
  <c r="F16" i="1" l="1"/>
  <c r="G16" i="1"/>
  <c r="F7" i="3"/>
  <c r="G7" i="3"/>
  <c r="A17" i="1" l="1"/>
  <c r="B17" i="1"/>
  <c r="E17" i="1" s="1"/>
  <c r="A8" i="3"/>
  <c r="B8" i="3"/>
  <c r="E8" i="3" s="1"/>
  <c r="C17" i="1" l="1"/>
  <c r="D17" i="1"/>
  <c r="D8" i="3"/>
  <c r="C8" i="3" s="1"/>
  <c r="F17" i="1" l="1"/>
  <c r="G17" i="1"/>
  <c r="F8" i="3"/>
  <c r="G8" i="3"/>
</calcChain>
</file>

<file path=xl/sharedStrings.xml><?xml version="1.0" encoding="utf-8"?>
<sst xmlns="http://schemas.openxmlformats.org/spreadsheetml/2006/main" count="42" uniqueCount="22">
  <si>
    <t>a</t>
  </si>
  <si>
    <t>b</t>
  </si>
  <si>
    <t>xi</t>
  </si>
  <si>
    <t>F a</t>
  </si>
  <si>
    <t>F b</t>
  </si>
  <si>
    <t>F xi</t>
  </si>
  <si>
    <t xml:space="preserve"> dx</t>
  </si>
  <si>
    <t xml:space="preserve">Fa </t>
  </si>
  <si>
    <t>Fb</t>
  </si>
  <si>
    <t xml:space="preserve">dx </t>
  </si>
  <si>
    <t xml:space="preserve">сужветсяс там - где корень </t>
  </si>
  <si>
    <t xml:space="preserve">одно стоит на масте - другое двигается к истинному корню </t>
  </si>
  <si>
    <t xml:space="preserve">  </t>
  </si>
  <si>
    <t xml:space="preserve">где dx b | Fxi|  меньше погрешности - там и ответ - соответствующий x </t>
  </si>
  <si>
    <t>Epsilon</t>
  </si>
  <si>
    <t>Ответ</t>
  </si>
  <si>
    <t>fxi</t>
  </si>
  <si>
    <t>dx</t>
  </si>
  <si>
    <t>const</t>
  </si>
  <si>
    <t>e</t>
  </si>
  <si>
    <t>Для этого метода нужно преобразовать уровнение к x= Фи(x)</t>
  </si>
  <si>
    <t>F'xi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</si>
</sst>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3" borderId="0" xfId="0" applyFont="1" applyFill="1"/>
    <xf numFmtId="165" fontId="2" fillId="3" borderId="0" xfId="0" applyNumberFormat="1" applyFont="1" applyFill="1"/>
    <xf numFmtId="165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workbookViewId="0">
      <selection activeCell="H2" sqref="H2:I3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14</v>
      </c>
      <c r="I1" t="s">
        <v>15</v>
      </c>
    </row>
    <row r="2" spans="1:13" x14ac:dyDescent="0.25">
      <c r="A2">
        <v>0</v>
      </c>
      <c r="B2">
        <v>1</v>
      </c>
      <c r="C2">
        <f>(A2+B2)/2</f>
        <v>0.5</v>
      </c>
      <c r="D2">
        <f>(A2^3 )+A2 -1</f>
        <v>-1</v>
      </c>
      <c r="E2">
        <f>(B2^3)+B2-1</f>
        <v>1</v>
      </c>
      <c r="F2">
        <f>(C2^3)+C2 -1</f>
        <v>-0.375</v>
      </c>
      <c r="H2">
        <v>0.01</v>
      </c>
    </row>
    <row r="3" spans="1:13" x14ac:dyDescent="0.25">
      <c r="A3">
        <f>IF(D2*F2&lt;0,A2,C2)</f>
        <v>0.5</v>
      </c>
      <c r="B3">
        <f>IF(D2*F2&lt;0,C2,B2)</f>
        <v>1</v>
      </c>
      <c r="C3">
        <f>(A3+B3)/2</f>
        <v>0.75</v>
      </c>
      <c r="D3">
        <f>(A3^3 )+A3 -1</f>
        <v>-0.375</v>
      </c>
      <c r="E3">
        <f>(B3^3)+B3-1</f>
        <v>1</v>
      </c>
      <c r="F3">
        <f>(C3^3)+C3 -1</f>
        <v>0.171875</v>
      </c>
      <c r="G3">
        <f>ABS(C2-C3)</f>
        <v>0.25</v>
      </c>
      <c r="H3">
        <v>0.01</v>
      </c>
      <c r="I3" t="str">
        <f>IF(G3&lt;H3, C3, "Не ответ")</f>
        <v>Не ответ</v>
      </c>
    </row>
    <row r="4" spans="1:13" x14ac:dyDescent="0.25">
      <c r="A4">
        <f t="shared" ref="A4:A10" si="0">IF(D3*F3&lt;0,A3,C3)</f>
        <v>0.5</v>
      </c>
      <c r="B4">
        <f t="shared" ref="B4:B10" si="1">IF(D3*F3&lt;0,C3,B3)</f>
        <v>0.75</v>
      </c>
      <c r="C4">
        <f t="shared" ref="C4:C10" si="2">(A4+B4)/2</f>
        <v>0.625</v>
      </c>
      <c r="D4">
        <f t="shared" ref="D4:D10" si="3">(A4^3 )+A4 -1</f>
        <v>-0.375</v>
      </c>
      <c r="E4">
        <f t="shared" ref="E4:E10" si="4">(B4^3)+B4-1</f>
        <v>0.171875</v>
      </c>
      <c r="F4">
        <f t="shared" ref="F4:F10" si="5">(C4^3)+C4 -1</f>
        <v>-0.130859375</v>
      </c>
      <c r="G4">
        <f t="shared" ref="G4:G10" si="6">ABS(C3-C4)</f>
        <v>0.125</v>
      </c>
      <c r="H4">
        <v>0.01</v>
      </c>
      <c r="I4" t="str">
        <f t="shared" ref="I4:I17" si="7">IF(G4&lt;H4, C4, "Не ответ")</f>
        <v>Не ответ</v>
      </c>
    </row>
    <row r="5" spans="1:13" x14ac:dyDescent="0.25">
      <c r="A5">
        <f t="shared" si="0"/>
        <v>0.625</v>
      </c>
      <c r="B5">
        <f t="shared" si="1"/>
        <v>0.75</v>
      </c>
      <c r="C5">
        <f t="shared" si="2"/>
        <v>0.6875</v>
      </c>
      <c r="D5">
        <f t="shared" si="3"/>
        <v>-0.130859375</v>
      </c>
      <c r="E5">
        <f t="shared" si="4"/>
        <v>0.171875</v>
      </c>
      <c r="F5">
        <f t="shared" si="5"/>
        <v>1.2451171875E-2</v>
      </c>
      <c r="G5">
        <f t="shared" si="6"/>
        <v>6.25E-2</v>
      </c>
      <c r="H5">
        <v>0.01</v>
      </c>
      <c r="I5" t="str">
        <f t="shared" si="7"/>
        <v>Не ответ</v>
      </c>
      <c r="M5" t="s">
        <v>13</v>
      </c>
    </row>
    <row r="6" spans="1:13" x14ac:dyDescent="0.25">
      <c r="A6">
        <f t="shared" si="0"/>
        <v>0.625</v>
      </c>
      <c r="B6">
        <f t="shared" si="1"/>
        <v>0.6875</v>
      </c>
      <c r="C6">
        <f t="shared" si="2"/>
        <v>0.65625</v>
      </c>
      <c r="D6">
        <f t="shared" si="3"/>
        <v>-0.130859375</v>
      </c>
      <c r="E6">
        <f t="shared" si="4"/>
        <v>1.2451171875E-2</v>
      </c>
      <c r="F6">
        <f t="shared" si="5"/>
        <v>-6.1126708984375E-2</v>
      </c>
      <c r="G6">
        <f t="shared" si="6"/>
        <v>3.125E-2</v>
      </c>
      <c r="H6">
        <v>0.01</v>
      </c>
      <c r="I6" t="str">
        <f t="shared" si="7"/>
        <v>Не ответ</v>
      </c>
      <c r="M6" t="s">
        <v>10</v>
      </c>
    </row>
    <row r="7" spans="1:13" x14ac:dyDescent="0.25">
      <c r="A7">
        <f t="shared" si="0"/>
        <v>0.65625</v>
      </c>
      <c r="B7">
        <f t="shared" si="1"/>
        <v>0.6875</v>
      </c>
      <c r="C7">
        <f t="shared" si="2"/>
        <v>0.671875</v>
      </c>
      <c r="D7">
        <f t="shared" si="3"/>
        <v>-6.1126708984375E-2</v>
      </c>
      <c r="E7">
        <f t="shared" si="4"/>
        <v>1.2451171875E-2</v>
      </c>
      <c r="F7">
        <f t="shared" si="5"/>
        <v>-2.4829864501953125E-2</v>
      </c>
      <c r="G7">
        <f t="shared" si="6"/>
        <v>1.5625E-2</v>
      </c>
      <c r="H7">
        <v>0.01</v>
      </c>
      <c r="I7" t="str">
        <f t="shared" si="7"/>
        <v>Не ответ</v>
      </c>
    </row>
    <row r="8" spans="1:13" x14ac:dyDescent="0.25">
      <c r="A8">
        <f t="shared" si="0"/>
        <v>0.671875</v>
      </c>
      <c r="B8">
        <f t="shared" si="1"/>
        <v>0.6875</v>
      </c>
      <c r="C8" s="1">
        <f t="shared" si="2"/>
        <v>0.6796875</v>
      </c>
      <c r="D8">
        <f t="shared" si="3"/>
        <v>-2.4829864501953125E-2</v>
      </c>
      <c r="E8">
        <f t="shared" si="4"/>
        <v>1.2451171875E-2</v>
      </c>
      <c r="F8">
        <f t="shared" si="5"/>
        <v>-6.3138008117675781E-3</v>
      </c>
      <c r="G8">
        <f t="shared" si="6"/>
        <v>7.8125E-3</v>
      </c>
      <c r="H8">
        <v>0.01</v>
      </c>
      <c r="I8">
        <f t="shared" si="7"/>
        <v>0.6796875</v>
      </c>
    </row>
    <row r="9" spans="1:13" x14ac:dyDescent="0.25">
      <c r="A9">
        <f t="shared" si="0"/>
        <v>0.6796875</v>
      </c>
      <c r="B9">
        <f t="shared" si="1"/>
        <v>0.6875</v>
      </c>
      <c r="C9">
        <f t="shared" si="2"/>
        <v>0.68359375</v>
      </c>
      <c r="D9">
        <f t="shared" si="3"/>
        <v>-6.3138008117675781E-3</v>
      </c>
      <c r="E9">
        <f t="shared" si="4"/>
        <v>1.2451171875E-2</v>
      </c>
      <c r="F9">
        <f t="shared" si="5"/>
        <v>3.0373930931091309E-3</v>
      </c>
      <c r="G9">
        <f t="shared" si="6"/>
        <v>3.90625E-3</v>
      </c>
      <c r="H9">
        <v>0.01</v>
      </c>
      <c r="I9">
        <f t="shared" si="7"/>
        <v>0.68359375</v>
      </c>
    </row>
    <row r="10" spans="1:13" x14ac:dyDescent="0.25">
      <c r="A10">
        <f t="shared" si="0"/>
        <v>0.6796875</v>
      </c>
      <c r="B10">
        <f t="shared" si="1"/>
        <v>0.68359375</v>
      </c>
      <c r="C10">
        <f t="shared" si="2"/>
        <v>0.681640625</v>
      </c>
      <c r="D10">
        <f t="shared" si="3"/>
        <v>-6.3138008117675781E-3</v>
      </c>
      <c r="E10">
        <f t="shared" si="4"/>
        <v>3.0373930931091309E-3</v>
      </c>
      <c r="F10">
        <f t="shared" si="5"/>
        <v>-1.6460046172142029E-3</v>
      </c>
      <c r="G10">
        <f t="shared" si="6"/>
        <v>1.953125E-3</v>
      </c>
      <c r="H10">
        <v>0.01</v>
      </c>
      <c r="I10">
        <f t="shared" si="7"/>
        <v>0.681640625</v>
      </c>
    </row>
    <row r="11" spans="1:13" x14ac:dyDescent="0.25">
      <c r="A11">
        <f t="shared" ref="A11:A17" si="8">IF(D10*F10&lt;0,A10,C10)</f>
        <v>0.681640625</v>
      </c>
      <c r="B11">
        <f t="shared" ref="B11:B17" si="9">IF(D10*F10&lt;0,C10,B10)</f>
        <v>0.68359375</v>
      </c>
      <c r="C11">
        <f t="shared" ref="C11:C17" si="10">(A11+B11)/2</f>
        <v>0.6826171875</v>
      </c>
      <c r="D11">
        <f t="shared" ref="D11:D17" si="11">(A11^3 )+A11 -1</f>
        <v>-1.6460046172142029E-3</v>
      </c>
      <c r="E11">
        <f t="shared" ref="E11:E17" si="12">(B11^3)+B11-1</f>
        <v>3.0373930931091309E-3</v>
      </c>
      <c r="F11">
        <f t="shared" ref="F11:F17" si="13">(C11^3)+C11 -1</f>
        <v>6.9374125450849533E-4</v>
      </c>
      <c r="G11">
        <f t="shared" ref="G11:G17" si="14">ABS(C10-C11)</f>
        <v>9.765625E-4</v>
      </c>
      <c r="H11">
        <v>0.01</v>
      </c>
      <c r="I11">
        <f t="shared" si="7"/>
        <v>0.6826171875</v>
      </c>
    </row>
    <row r="12" spans="1:13" x14ac:dyDescent="0.25">
      <c r="A12">
        <f t="shared" si="8"/>
        <v>0.681640625</v>
      </c>
      <c r="B12">
        <f t="shared" si="9"/>
        <v>0.6826171875</v>
      </c>
      <c r="C12">
        <f t="shared" si="10"/>
        <v>0.68212890625</v>
      </c>
      <c r="D12">
        <f t="shared" si="11"/>
        <v>-1.6460046172142029E-3</v>
      </c>
      <c r="E12">
        <f t="shared" si="12"/>
        <v>6.9374125450849533E-4</v>
      </c>
      <c r="F12">
        <f t="shared" si="13"/>
        <v>-4.7661957796663046E-4</v>
      </c>
      <c r="G12">
        <f t="shared" si="14"/>
        <v>4.8828125E-4</v>
      </c>
      <c r="H12">
        <v>0.01</v>
      </c>
      <c r="I12">
        <f t="shared" si="7"/>
        <v>0.68212890625</v>
      </c>
    </row>
    <row r="13" spans="1:13" x14ac:dyDescent="0.25">
      <c r="A13">
        <f t="shared" si="8"/>
        <v>0.68212890625</v>
      </c>
      <c r="B13">
        <f t="shared" si="9"/>
        <v>0.6826171875</v>
      </c>
      <c r="C13">
        <f t="shared" si="10"/>
        <v>0.682373046875</v>
      </c>
      <c r="D13">
        <f t="shared" si="11"/>
        <v>-4.7661957796663046E-4</v>
      </c>
      <c r="E13">
        <f t="shared" si="12"/>
        <v>6.9374125450849533E-4</v>
      </c>
      <c r="F13">
        <f t="shared" si="13"/>
        <v>1.0843882046174258E-4</v>
      </c>
      <c r="G13">
        <f t="shared" si="14"/>
        <v>2.44140625E-4</v>
      </c>
      <c r="H13">
        <v>0.01</v>
      </c>
      <c r="I13">
        <f t="shared" si="7"/>
        <v>0.682373046875</v>
      </c>
    </row>
    <row r="14" spans="1:13" x14ac:dyDescent="0.25">
      <c r="A14">
        <f t="shared" si="8"/>
        <v>0.68212890625</v>
      </c>
      <c r="B14">
        <f t="shared" si="9"/>
        <v>0.682373046875</v>
      </c>
      <c r="C14">
        <f t="shared" si="10"/>
        <v>0.6822509765625</v>
      </c>
      <c r="D14">
        <f t="shared" si="11"/>
        <v>-4.7661957796663046E-4</v>
      </c>
      <c r="E14">
        <f t="shared" si="12"/>
        <v>1.0843882046174258E-4</v>
      </c>
      <c r="F14">
        <f t="shared" si="13"/>
        <v>-1.8412087774777319E-4</v>
      </c>
      <c r="G14">
        <f t="shared" si="14"/>
        <v>1.220703125E-4</v>
      </c>
      <c r="H14">
        <v>0.01</v>
      </c>
      <c r="I14">
        <f t="shared" si="7"/>
        <v>0.6822509765625</v>
      </c>
    </row>
    <row r="15" spans="1:13" x14ac:dyDescent="0.25">
      <c r="A15">
        <f t="shared" si="8"/>
        <v>0.6822509765625</v>
      </c>
      <c r="B15">
        <f t="shared" si="9"/>
        <v>0.682373046875</v>
      </c>
      <c r="C15">
        <f t="shared" si="10"/>
        <v>0.68231201171875</v>
      </c>
      <c r="D15">
        <f t="shared" si="11"/>
        <v>-1.8412087774777319E-4</v>
      </c>
      <c r="E15">
        <f t="shared" si="12"/>
        <v>1.0843882046174258E-4</v>
      </c>
      <c r="F15">
        <f t="shared" si="13"/>
        <v>-3.7848654073968646E-5</v>
      </c>
      <c r="G15">
        <f t="shared" si="14"/>
        <v>6.103515625E-5</v>
      </c>
      <c r="H15">
        <v>0.01</v>
      </c>
      <c r="I15">
        <f t="shared" si="7"/>
        <v>0.68231201171875</v>
      </c>
    </row>
    <row r="16" spans="1:13" x14ac:dyDescent="0.25">
      <c r="A16">
        <f t="shared" si="8"/>
        <v>0.68231201171875</v>
      </c>
      <c r="B16">
        <f t="shared" si="9"/>
        <v>0.682373046875</v>
      </c>
      <c r="C16">
        <f t="shared" si="10"/>
        <v>0.682342529296875</v>
      </c>
      <c r="D16">
        <f t="shared" si="11"/>
        <v>-3.7848654073968646E-5</v>
      </c>
      <c r="E16">
        <f t="shared" si="12"/>
        <v>1.0843882046174258E-4</v>
      </c>
      <c r="F16">
        <f t="shared" si="13"/>
        <v>3.5293176750883504E-5</v>
      </c>
      <c r="G16">
        <f t="shared" si="14"/>
        <v>3.0517578125E-5</v>
      </c>
      <c r="H16">
        <v>0.01</v>
      </c>
      <c r="I16">
        <f t="shared" si="7"/>
        <v>0.682342529296875</v>
      </c>
    </row>
    <row r="17" spans="1:9" x14ac:dyDescent="0.25">
      <c r="A17">
        <f t="shared" si="8"/>
        <v>0.68231201171875</v>
      </c>
      <c r="B17">
        <f t="shared" si="9"/>
        <v>0.682342529296875</v>
      </c>
      <c r="C17">
        <f t="shared" si="10"/>
        <v>0.6823272705078125</v>
      </c>
      <c r="D17">
        <f t="shared" si="11"/>
        <v>-3.7848654073968646E-5</v>
      </c>
      <c r="E17">
        <f t="shared" si="12"/>
        <v>3.5293176750883504E-5</v>
      </c>
      <c r="F17">
        <f t="shared" si="13"/>
        <v>-1.278215261635296E-6</v>
      </c>
      <c r="G17">
        <f t="shared" si="14"/>
        <v>1.52587890625E-5</v>
      </c>
      <c r="H17">
        <v>0.01</v>
      </c>
      <c r="I17">
        <f t="shared" si="7"/>
        <v>0.6823272705078125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D236-D571-40AC-9BC0-67D35102D9C7}">
  <dimension ref="A1:J17"/>
  <sheetViews>
    <sheetView zoomScale="87" workbookViewId="0">
      <selection activeCell="H1" sqref="H1:I3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7</v>
      </c>
      <c r="E1" t="s">
        <v>8</v>
      </c>
      <c r="F1" t="s">
        <v>5</v>
      </c>
      <c r="G1" t="s">
        <v>9</v>
      </c>
      <c r="H1" t="s">
        <v>14</v>
      </c>
      <c r="I1" t="s">
        <v>15</v>
      </c>
    </row>
    <row r="2" spans="1:10" x14ac:dyDescent="0.25">
      <c r="A2">
        <v>0</v>
      </c>
      <c r="B2">
        <v>1</v>
      </c>
      <c r="C2">
        <f>IF(ABS(D2)&lt;ABS(E2),B2-0.618*(B2-A2),A2+0.618*(B2-A2))</f>
        <v>0.61799999999999999</v>
      </c>
      <c r="D2">
        <f>(A2^3 )+A2 -1</f>
        <v>-1</v>
      </c>
      <c r="E2">
        <f>(B2^3)+B2-1</f>
        <v>1</v>
      </c>
      <c r="F2">
        <f>(C2^3)+C2 -1</f>
        <v>-0.14597096799999998</v>
      </c>
      <c r="H2">
        <v>0.01</v>
      </c>
    </row>
    <row r="3" spans="1:10" x14ac:dyDescent="0.25">
      <c r="A3">
        <f>IF(D2*F2&lt;0,A2,C2)</f>
        <v>0.61799999999999999</v>
      </c>
      <c r="B3">
        <f>IF(D2*F2&lt;0,C2,B2)</f>
        <v>1</v>
      </c>
      <c r="C3">
        <f>(A3+B3)/2</f>
        <v>0.80899999999999994</v>
      </c>
      <c r="D3">
        <f>(A3^3 )+A3 -1</f>
        <v>-0.14597096799999998</v>
      </c>
      <c r="E3">
        <f>(B3^3)+B3-1</f>
        <v>1</v>
      </c>
      <c r="F3">
        <f>(C3^3)+C3 -1</f>
        <v>0.33847512899999987</v>
      </c>
      <c r="G3">
        <f>ABS(C2-C3)</f>
        <v>0.19099999999999995</v>
      </c>
      <c r="H3">
        <v>0.01</v>
      </c>
      <c r="I3" t="str">
        <f>IF(G3&lt;H3, C3, "Не ответ")</f>
        <v>Не ответ</v>
      </c>
      <c r="J3" t="s">
        <v>11</v>
      </c>
    </row>
    <row r="4" spans="1:10" x14ac:dyDescent="0.25">
      <c r="A4">
        <f t="shared" ref="A4:A8" si="0">IF(D3*F3&lt;0,A3,C3)</f>
        <v>0.61799999999999999</v>
      </c>
      <c r="B4">
        <f t="shared" ref="B4:B8" si="1">IF(D3*F3&lt;0,C3,B3)</f>
        <v>0.80899999999999994</v>
      </c>
      <c r="C4">
        <f t="shared" ref="C4:C8" si="2">(A4+B4)/2</f>
        <v>0.71350000000000002</v>
      </c>
      <c r="D4">
        <f t="shared" ref="D4:D8" si="3">(A4^3 )+A4 -1</f>
        <v>-0.14597096799999998</v>
      </c>
      <c r="E4">
        <f t="shared" ref="E4:E8" si="4">(B4^3)+B4-1</f>
        <v>0.33847512899999987</v>
      </c>
      <c r="F4">
        <f t="shared" ref="F4:F8" si="5">(C4^3)+C4 -1</f>
        <v>7.6730185375000204E-2</v>
      </c>
      <c r="G4">
        <f t="shared" ref="G4:G8" si="6">ABS(C3-C4)</f>
        <v>9.5499999999999918E-2</v>
      </c>
      <c r="H4">
        <v>0.01</v>
      </c>
      <c r="I4" t="str">
        <f t="shared" ref="I4:I7" si="7">IF(G4&lt;H4, C4, "Не ответ")</f>
        <v>Не ответ</v>
      </c>
    </row>
    <row r="5" spans="1:10" x14ac:dyDescent="0.25">
      <c r="A5">
        <f t="shared" si="0"/>
        <v>0.61799999999999999</v>
      </c>
      <c r="B5">
        <f t="shared" si="1"/>
        <v>0.71350000000000002</v>
      </c>
      <c r="C5">
        <f t="shared" si="2"/>
        <v>0.66575000000000006</v>
      </c>
      <c r="D5">
        <f t="shared" si="3"/>
        <v>-0.14597096799999998</v>
      </c>
      <c r="E5">
        <f t="shared" si="4"/>
        <v>7.6730185375000204E-2</v>
      </c>
      <c r="F5">
        <f t="shared" si="5"/>
        <v>-3.9174246140624813E-2</v>
      </c>
      <c r="G5">
        <f t="shared" si="6"/>
        <v>4.7749999999999959E-2</v>
      </c>
      <c r="H5">
        <v>0.01</v>
      </c>
      <c r="I5" t="str">
        <f t="shared" si="7"/>
        <v>Не ответ</v>
      </c>
    </row>
    <row r="6" spans="1:10" x14ac:dyDescent="0.25">
      <c r="A6">
        <f t="shared" si="0"/>
        <v>0.66575000000000006</v>
      </c>
      <c r="B6">
        <f t="shared" si="1"/>
        <v>0.71350000000000002</v>
      </c>
      <c r="C6">
        <f t="shared" si="2"/>
        <v>0.68962500000000004</v>
      </c>
      <c r="D6">
        <f t="shared" si="3"/>
        <v>-3.9174246140624813E-2</v>
      </c>
      <c r="E6">
        <f t="shared" si="4"/>
        <v>7.6730185375000204E-2</v>
      </c>
      <c r="F6">
        <f t="shared" si="5"/>
        <v>1.7598678541015822E-2</v>
      </c>
      <c r="G6">
        <f t="shared" si="6"/>
        <v>2.387499999999998E-2</v>
      </c>
      <c r="H6">
        <v>0.01</v>
      </c>
      <c r="I6" t="str">
        <f t="shared" si="7"/>
        <v>Не ответ</v>
      </c>
    </row>
    <row r="7" spans="1:10" x14ac:dyDescent="0.25">
      <c r="A7">
        <f t="shared" si="0"/>
        <v>0.66575000000000006</v>
      </c>
      <c r="B7">
        <f t="shared" si="1"/>
        <v>0.68962500000000004</v>
      </c>
      <c r="C7">
        <f t="shared" si="2"/>
        <v>0.6776875</v>
      </c>
      <c r="D7">
        <f t="shared" si="3"/>
        <v>-3.9174246140624813E-2</v>
      </c>
      <c r="E7">
        <f t="shared" si="4"/>
        <v>1.7598678541015822E-2</v>
      </c>
      <c r="F7">
        <f t="shared" si="5"/>
        <v>-1.1077503147705059E-2</v>
      </c>
      <c r="G7">
        <f t="shared" si="6"/>
        <v>1.1937500000000045E-2</v>
      </c>
      <c r="H7">
        <v>0.01</v>
      </c>
      <c r="I7" t="str">
        <f t="shared" si="7"/>
        <v>Не ответ</v>
      </c>
    </row>
    <row r="8" spans="1:10" x14ac:dyDescent="0.25">
      <c r="A8">
        <f t="shared" si="0"/>
        <v>0.6776875</v>
      </c>
      <c r="B8">
        <f t="shared" si="1"/>
        <v>0.68962500000000004</v>
      </c>
      <c r="C8">
        <f t="shared" si="2"/>
        <v>0.68365625000000008</v>
      </c>
      <c r="D8">
        <f t="shared" si="3"/>
        <v>-1.1077503147705059E-2</v>
      </c>
      <c r="E8">
        <f t="shared" si="4"/>
        <v>1.7598678541015822E-2</v>
      </c>
      <c r="F8">
        <f t="shared" si="5"/>
        <v>3.1875199320374747E-3</v>
      </c>
      <c r="G8">
        <f t="shared" si="6"/>
        <v>5.9687500000000782E-3</v>
      </c>
      <c r="H8">
        <v>0.01</v>
      </c>
      <c r="I8">
        <f>IF(G8&lt;H8, C8, "Не ответ")</f>
        <v>0.68365625000000008</v>
      </c>
    </row>
    <row r="9" spans="1:10" x14ac:dyDescent="0.25">
      <c r="A9">
        <f>IF(D8*F8&lt;0,A8,C8)</f>
        <v>0.6776875</v>
      </c>
      <c r="B9">
        <f>IF(D8*F8&lt;0,C8,B8)</f>
        <v>0.68365625000000008</v>
      </c>
      <c r="C9">
        <f>(A9+B9)/2</f>
        <v>0.68067187500000004</v>
      </c>
      <c r="D9">
        <f>(A9^3 )+A9 -1</f>
        <v>-1.1077503147705059E-2</v>
      </c>
      <c r="E9">
        <f>(B9^3)+B9-1</f>
        <v>3.1875199320374747E-3</v>
      </c>
      <c r="F9">
        <f>(C9^3)+C9 -1</f>
        <v>-3.9631788080328745E-3</v>
      </c>
      <c r="G9">
        <f>ABS(C8-C9)</f>
        <v>2.9843750000000391E-3</v>
      </c>
      <c r="H9">
        <v>0.01</v>
      </c>
      <c r="I9">
        <f>IF(G9&lt;H9, C9, "Не ответ")</f>
        <v>0.68067187500000004</v>
      </c>
    </row>
    <row r="10" spans="1:10" x14ac:dyDescent="0.25">
      <c r="A10">
        <f t="shared" ref="A10:A12" si="8">IF(D9*F9&lt;0,A9,C9)</f>
        <v>0.68067187500000004</v>
      </c>
      <c r="B10">
        <f t="shared" ref="B10:B12" si="9">IF(D9*F9&lt;0,C9,B9)</f>
        <v>0.68365625000000008</v>
      </c>
      <c r="C10">
        <f t="shared" ref="C10:C12" si="10">(A10+B10)/2</f>
        <v>0.68216406250000006</v>
      </c>
      <c r="D10">
        <f t="shared" ref="D10:D12" si="11">(A10^3 )+A10 -1</f>
        <v>-3.9631788080328745E-3</v>
      </c>
      <c r="E10">
        <f t="shared" ref="E10:E12" si="12">(B10^3)+B10-1</f>
        <v>3.1875199320374747E-3</v>
      </c>
      <c r="F10">
        <f t="shared" ref="F10:F12" si="13">(C10^3)+C10 -1</f>
        <v>-3.9238620566695026E-4</v>
      </c>
      <c r="G10">
        <f t="shared" ref="G10:G12" si="14">ABS(C9-C10)</f>
        <v>1.4921875000000195E-3</v>
      </c>
      <c r="H10">
        <v>0.01</v>
      </c>
      <c r="I10">
        <f t="shared" ref="I10:I12" si="15">IF(G10&lt;H10, C10, "Не ответ")</f>
        <v>0.68216406250000006</v>
      </c>
    </row>
    <row r="11" spans="1:10" x14ac:dyDescent="0.25">
      <c r="A11">
        <f t="shared" si="8"/>
        <v>0.68216406250000006</v>
      </c>
      <c r="B11">
        <f t="shared" si="9"/>
        <v>0.68365625000000008</v>
      </c>
      <c r="C11">
        <f t="shared" si="10"/>
        <v>0.68291015625000007</v>
      </c>
      <c r="D11">
        <f t="shared" si="11"/>
        <v>-3.9238620566695026E-4</v>
      </c>
      <c r="E11">
        <f t="shared" si="12"/>
        <v>3.1875199320374747E-3</v>
      </c>
      <c r="F11">
        <f t="shared" si="13"/>
        <v>1.3964264253156777E-3</v>
      </c>
      <c r="G11">
        <f t="shared" si="14"/>
        <v>7.4609375000000977E-4</v>
      </c>
      <c r="H11">
        <v>0.01</v>
      </c>
      <c r="I11">
        <f t="shared" si="15"/>
        <v>0.68291015625000007</v>
      </c>
    </row>
    <row r="12" spans="1:10" x14ac:dyDescent="0.25">
      <c r="A12">
        <f t="shared" si="8"/>
        <v>0.68216406250000006</v>
      </c>
      <c r="B12">
        <f t="shared" si="9"/>
        <v>0.68291015625000007</v>
      </c>
      <c r="C12">
        <f t="shared" si="10"/>
        <v>0.68253710937500012</v>
      </c>
      <c r="D12">
        <f t="shared" si="11"/>
        <v>-3.9238620566695026E-4</v>
      </c>
      <c r="E12">
        <f t="shared" si="12"/>
        <v>1.3964264253156777E-3</v>
      </c>
      <c r="F12">
        <f t="shared" si="13"/>
        <v>5.0173515610119068E-4</v>
      </c>
      <c r="G12">
        <f t="shared" si="14"/>
        <v>3.7304687499994937E-4</v>
      </c>
      <c r="H12">
        <v>0.01</v>
      </c>
      <c r="I12">
        <f t="shared" si="15"/>
        <v>0.68253710937500012</v>
      </c>
    </row>
    <row r="17" spans="5:5" x14ac:dyDescent="0.25">
      <c r="E1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C4007-B242-4866-BDB4-E9D073D572EC}">
  <dimension ref="A1:I8"/>
  <sheetViews>
    <sheetView zoomScale="138" workbookViewId="0">
      <selection activeCell="I3" sqref="I3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14</v>
      </c>
      <c r="I1" t="s">
        <v>15</v>
      </c>
    </row>
    <row r="2" spans="1:9" x14ac:dyDescent="0.25">
      <c r="A2">
        <v>0</v>
      </c>
      <c r="B2">
        <v>1</v>
      </c>
      <c r="C2">
        <f>A2-D2*(B2-A2)/(E2-D2)</f>
        <v>0.5</v>
      </c>
      <c r="D2">
        <f>(A2^3 )+A2 -1</f>
        <v>-1</v>
      </c>
      <c r="E2">
        <f>(B2^3)+B2-1</f>
        <v>1</v>
      </c>
      <c r="F2">
        <f>(C2^3)+C2 -1</f>
        <v>-0.375</v>
      </c>
      <c r="H2">
        <v>0.01</v>
      </c>
    </row>
    <row r="3" spans="1:9" x14ac:dyDescent="0.25">
      <c r="A3">
        <f>IF(D2*F2&lt;0,A2,C2)</f>
        <v>0.5</v>
      </c>
      <c r="B3">
        <f>IF(D2*F2&lt;0,C2,B2)</f>
        <v>1</v>
      </c>
      <c r="C3">
        <f>A3-D3*(B3-A3)/(E3-D3)</f>
        <v>0.63636363636363635</v>
      </c>
      <c r="D3">
        <f>(A3^3 )+A3 -1</f>
        <v>-0.375</v>
      </c>
      <c r="E3">
        <f>(B3^3)+B3-1</f>
        <v>1</v>
      </c>
      <c r="F3">
        <f>(C3^3)+C3 -1</f>
        <v>-0.10593538692712245</v>
      </c>
      <c r="G3">
        <f>ABS(C2-C3)</f>
        <v>0.13636363636363635</v>
      </c>
      <c r="H3">
        <v>0.01</v>
      </c>
      <c r="I3" t="str">
        <f>IF(G3&lt;H3, C3, "Не ответ")</f>
        <v>Не ответ</v>
      </c>
    </row>
    <row r="4" spans="1:9" x14ac:dyDescent="0.25">
      <c r="A4">
        <f t="shared" ref="A4:A8" si="0">IF(D3*F3&lt;0,A3,C3)</f>
        <v>0.63636363636363635</v>
      </c>
      <c r="B4">
        <f t="shared" ref="B4:B8" si="1">IF(D3*F3&lt;0,C3,B3)</f>
        <v>1</v>
      </c>
      <c r="C4">
        <f t="shared" ref="C4:C8" si="2">A4-D4*(B4-A4)/(E4-D4)</f>
        <v>0.67119565217391308</v>
      </c>
      <c r="D4">
        <f t="shared" ref="D4:D8" si="3">(A4^3 )+A4 -1</f>
        <v>-0.10593538692712245</v>
      </c>
      <c r="E4">
        <f t="shared" ref="E4:E8" si="4">(B4^3)+B4-1</f>
        <v>1</v>
      </c>
      <c r="F4">
        <f t="shared" ref="F4:F8" si="5">(C4^3)+C4 -1</f>
        <v>-2.6428287870109646E-2</v>
      </c>
      <c r="G4">
        <f t="shared" ref="G4:G8" si="6">ABS(C3-C4)</f>
        <v>3.4832015810276729E-2</v>
      </c>
      <c r="H4">
        <v>1.01</v>
      </c>
      <c r="I4">
        <f t="shared" ref="I4:I8" si="7">IF(G4&lt;H4, C4, "Не ответ")</f>
        <v>0.67119565217391308</v>
      </c>
    </row>
    <row r="5" spans="1:9" x14ac:dyDescent="0.25">
      <c r="A5">
        <f t="shared" si="0"/>
        <v>0.67119565217391308</v>
      </c>
      <c r="B5">
        <f t="shared" si="1"/>
        <v>1</v>
      </c>
      <c r="C5">
        <f t="shared" si="2"/>
        <v>0.67966164639872462</v>
      </c>
      <c r="D5">
        <f t="shared" si="3"/>
        <v>-2.6428287870109646E-2</v>
      </c>
      <c r="E5">
        <f t="shared" si="4"/>
        <v>1</v>
      </c>
      <c r="F5">
        <f t="shared" si="5"/>
        <v>-6.3754842100549602E-3</v>
      </c>
      <c r="G5">
        <f t="shared" si="6"/>
        <v>8.465994224811535E-3</v>
      </c>
      <c r="H5">
        <v>2.0099999999999998</v>
      </c>
      <c r="I5">
        <f t="shared" si="7"/>
        <v>0.67966164639872462</v>
      </c>
    </row>
    <row r="6" spans="1:9" x14ac:dyDescent="0.25">
      <c r="A6">
        <f t="shared" si="0"/>
        <v>0.67966164639872462</v>
      </c>
      <c r="B6">
        <f t="shared" si="1"/>
        <v>1</v>
      </c>
      <c r="C6">
        <f t="shared" si="2"/>
        <v>0.68169102027289352</v>
      </c>
      <c r="D6">
        <f t="shared" si="3"/>
        <v>-6.3754842100549602E-3</v>
      </c>
      <c r="E6">
        <f t="shared" si="4"/>
        <v>1</v>
      </c>
      <c r="F6">
        <f t="shared" si="5"/>
        <v>-1.5253580878831219E-3</v>
      </c>
      <c r="G6">
        <f t="shared" si="6"/>
        <v>2.0293738741689049E-3</v>
      </c>
      <c r="H6">
        <v>3.01</v>
      </c>
      <c r="I6">
        <f t="shared" si="7"/>
        <v>0.68169102027289352</v>
      </c>
    </row>
    <row r="7" spans="1:9" x14ac:dyDescent="0.25">
      <c r="A7">
        <f t="shared" si="0"/>
        <v>0.68169102027289352</v>
      </c>
      <c r="B7">
        <f t="shared" si="1"/>
        <v>1</v>
      </c>
      <c r="C7">
        <f t="shared" si="2"/>
        <v>0.68217581596253996</v>
      </c>
      <c r="D7">
        <f t="shared" si="3"/>
        <v>-1.5253580878831219E-3</v>
      </c>
      <c r="E7">
        <f t="shared" si="4"/>
        <v>1</v>
      </c>
      <c r="F7">
        <f t="shared" si="5"/>
        <v>-3.6422411632108798E-4</v>
      </c>
      <c r="G7">
        <f t="shared" si="6"/>
        <v>4.8479568964643338E-4</v>
      </c>
      <c r="H7">
        <v>4.01</v>
      </c>
      <c r="I7">
        <f t="shared" si="7"/>
        <v>0.68217581596253996</v>
      </c>
    </row>
    <row r="8" spans="1:9" x14ac:dyDescent="0.25">
      <c r="A8">
        <f t="shared" si="0"/>
        <v>0.68217581596253996</v>
      </c>
      <c r="B8">
        <f t="shared" si="1"/>
        <v>1</v>
      </c>
      <c r="C8">
        <f t="shared" si="2"/>
        <v>0.68229153304816326</v>
      </c>
      <c r="D8">
        <f t="shared" si="3"/>
        <v>-3.6422411632108798E-4</v>
      </c>
      <c r="E8">
        <f t="shared" si="4"/>
        <v>1</v>
      </c>
      <c r="F8">
        <f t="shared" si="5"/>
        <v>-8.6927981931106402E-5</v>
      </c>
      <c r="G8">
        <f t="shared" si="6"/>
        <v>1.1571708562330141E-4</v>
      </c>
      <c r="H8">
        <v>5.01</v>
      </c>
      <c r="I8">
        <f t="shared" si="7"/>
        <v>0.68229153304816326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02285-2A94-4A94-BBD5-6F90D6E3E1AB}">
  <dimension ref="A1:H8"/>
  <sheetViews>
    <sheetView zoomScale="151" workbookViewId="0">
      <selection activeCell="C3" sqref="C3"/>
    </sheetView>
  </sheetViews>
  <sheetFormatPr defaultRowHeight="15" x14ac:dyDescent="0.25"/>
  <sheetData>
    <row r="1" spans="1:8" x14ac:dyDescent="0.25">
      <c r="A1" t="s">
        <v>2</v>
      </c>
      <c r="B1" t="s">
        <v>16</v>
      </c>
      <c r="C1" t="s">
        <v>17</v>
      </c>
      <c r="D1" t="s">
        <v>18</v>
      </c>
      <c r="E1" t="s">
        <v>19</v>
      </c>
    </row>
    <row r="2" spans="1:8" x14ac:dyDescent="0.25">
      <c r="A2">
        <v>1</v>
      </c>
      <c r="B2">
        <f>A2^3 + A2-1</f>
        <v>1</v>
      </c>
      <c r="D2">
        <v>4</v>
      </c>
      <c r="E2">
        <v>0.01</v>
      </c>
      <c r="H2" t="s">
        <v>20</v>
      </c>
    </row>
    <row r="3" spans="1:8" x14ac:dyDescent="0.25">
      <c r="A3">
        <f>A2-B2/D2</f>
        <v>0.75</v>
      </c>
      <c r="B3">
        <f>A3^3 + A3-1</f>
        <v>0.171875</v>
      </c>
      <c r="C3">
        <f>ABS(A2-A3)</f>
        <v>0.25</v>
      </c>
      <c r="D3">
        <v>4</v>
      </c>
      <c r="E3">
        <v>0.01</v>
      </c>
      <c r="F3" t="str">
        <f>IF(C3&lt;E3, A3, "Не ответ")</f>
        <v>Не ответ</v>
      </c>
    </row>
    <row r="4" spans="1:8" x14ac:dyDescent="0.25">
      <c r="A4">
        <f t="shared" ref="A4:A8" si="0">A3-B3/D3</f>
        <v>0.70703125</v>
      </c>
      <c r="B4">
        <f t="shared" ref="B4:B8" si="1">A4^3 + A4-1</f>
        <v>6.047135591506958E-2</v>
      </c>
      <c r="C4">
        <f t="shared" ref="C4:C8" si="2">ABS(A3-A4)</f>
        <v>4.296875E-2</v>
      </c>
      <c r="D4">
        <v>4</v>
      </c>
      <c r="E4">
        <v>0.01</v>
      </c>
      <c r="F4" t="str">
        <f t="shared" ref="F4:F8" si="3">IF(C4&lt;E4, A4, "Не ответ")</f>
        <v>Не ответ</v>
      </c>
    </row>
    <row r="5" spans="1:8" x14ac:dyDescent="0.25">
      <c r="A5">
        <f t="shared" si="0"/>
        <v>0.6919134110212326</v>
      </c>
      <c r="B5">
        <f t="shared" si="1"/>
        <v>2.3162921551521887E-2</v>
      </c>
      <c r="C5">
        <f t="shared" si="2"/>
        <v>1.5117838978767395E-2</v>
      </c>
      <c r="D5">
        <v>4</v>
      </c>
      <c r="E5">
        <v>0.01</v>
      </c>
      <c r="F5" t="str">
        <f t="shared" si="3"/>
        <v>Не ответ</v>
      </c>
    </row>
    <row r="6" spans="1:8" x14ac:dyDescent="0.25">
      <c r="A6">
        <f t="shared" si="0"/>
        <v>0.68612268063335213</v>
      </c>
      <c r="B6">
        <f t="shared" si="1"/>
        <v>9.1247666552043416E-3</v>
      </c>
      <c r="C6">
        <f t="shared" si="2"/>
        <v>5.7907303878804717E-3</v>
      </c>
      <c r="D6">
        <v>4</v>
      </c>
      <c r="E6">
        <v>0.01</v>
      </c>
      <c r="F6" s="1">
        <f t="shared" si="3"/>
        <v>0.68612268063335213</v>
      </c>
    </row>
    <row r="7" spans="1:8" x14ac:dyDescent="0.25">
      <c r="A7">
        <f t="shared" si="0"/>
        <v>0.68384148896955099</v>
      </c>
      <c r="B7">
        <f t="shared" si="1"/>
        <v>3.6325635136154055E-3</v>
      </c>
      <c r="C7">
        <f t="shared" si="2"/>
        <v>2.2811916638011409E-3</v>
      </c>
      <c r="D7">
        <v>4</v>
      </c>
      <c r="E7">
        <v>0.01</v>
      </c>
      <c r="F7">
        <f t="shared" si="3"/>
        <v>0.68384148896955099</v>
      </c>
    </row>
    <row r="8" spans="1:8" x14ac:dyDescent="0.25">
      <c r="A8">
        <f t="shared" si="0"/>
        <v>0.68293334809114714</v>
      </c>
      <c r="B8">
        <f t="shared" si="1"/>
        <v>1.4520670465598684E-3</v>
      </c>
      <c r="C8">
        <f t="shared" si="2"/>
        <v>9.0814087840385138E-4</v>
      </c>
      <c r="D8">
        <v>4</v>
      </c>
      <c r="E8">
        <v>0.01</v>
      </c>
      <c r="F8">
        <f t="shared" si="3"/>
        <v>0.68293334809114714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FAE7A-A746-4C8B-8E4C-9FB90CC4728C}">
  <dimension ref="A1:F8"/>
  <sheetViews>
    <sheetView tabSelected="1" zoomScale="150" workbookViewId="0">
      <selection activeCell="E15" sqref="E15"/>
    </sheetView>
  </sheetViews>
  <sheetFormatPr defaultRowHeight="15" x14ac:dyDescent="0.25"/>
  <cols>
    <col min="2" max="2" width="16.140625" style="4" bestFit="1" customWidth="1"/>
  </cols>
  <sheetData>
    <row r="1" spans="1:6" x14ac:dyDescent="0.25">
      <c r="A1" s="2" t="s">
        <v>2</v>
      </c>
      <c r="B1" s="3" t="s">
        <v>16</v>
      </c>
      <c r="C1" s="2" t="s">
        <v>21</v>
      </c>
      <c r="D1" s="2" t="s">
        <v>17</v>
      </c>
      <c r="E1" s="2" t="s">
        <v>19</v>
      </c>
    </row>
    <row r="2" spans="1:6" x14ac:dyDescent="0.25">
      <c r="A2">
        <v>1</v>
      </c>
      <c r="B2" s="4">
        <f>A2^3 + A2-1</f>
        <v>1</v>
      </c>
      <c r="C2">
        <f>3*A2^2+1</f>
        <v>4</v>
      </c>
      <c r="E2">
        <v>0.01</v>
      </c>
    </row>
    <row r="3" spans="1:6" x14ac:dyDescent="0.25">
      <c r="A3">
        <f>A2-B2/C2</f>
        <v>0.75</v>
      </c>
      <c r="B3" s="4">
        <f>A3^3 + A3-1</f>
        <v>0.171875</v>
      </c>
      <c r="C3">
        <f>3*A3^2+1</f>
        <v>2.6875</v>
      </c>
      <c r="D3">
        <f>ABS(A2-A3)</f>
        <v>0.25</v>
      </c>
      <c r="E3">
        <v>0.01</v>
      </c>
      <c r="F3" t="str">
        <f>IF(D3&lt;E3, A3, "Не ответ")</f>
        <v>Не ответ</v>
      </c>
    </row>
    <row r="4" spans="1:6" x14ac:dyDescent="0.25">
      <c r="A4">
        <f t="shared" ref="A4:A8" si="0">A3-B3/C3</f>
        <v>0.68604651162790697</v>
      </c>
      <c r="B4" s="4">
        <f t="shared" ref="B4:B8" si="1">A4^3 + A4-1</f>
        <v>8.9410366382833839E-3</v>
      </c>
      <c r="C4">
        <f t="shared" ref="C4:C8" si="2">3*A4^2+1</f>
        <v>2.4119794483504595</v>
      </c>
      <c r="D4">
        <f t="shared" ref="D4:D8" si="3">ABS(A3-A4)</f>
        <v>6.3953488372093026E-2</v>
      </c>
      <c r="E4">
        <v>0.01</v>
      </c>
      <c r="F4" t="str">
        <f t="shared" ref="F4:F8" si="4">IF(D4&lt;E4, A4, "Не ответ")</f>
        <v>Не ответ</v>
      </c>
    </row>
    <row r="5" spans="1:6" x14ac:dyDescent="0.25">
      <c r="A5">
        <f t="shared" si="0"/>
        <v>0.6823395825973142</v>
      </c>
      <c r="B5" s="4">
        <f t="shared" si="1"/>
        <v>2.8230621685665369E-5</v>
      </c>
      <c r="C5">
        <f t="shared" si="2"/>
        <v>2.3967619179372308</v>
      </c>
      <c r="D5">
        <f t="shared" si="3"/>
        <v>3.706929030592776E-3</v>
      </c>
      <c r="E5">
        <v>0.01</v>
      </c>
      <c r="F5">
        <f t="shared" si="4"/>
        <v>0.6823395825973142</v>
      </c>
    </row>
    <row r="6" spans="1:6" x14ac:dyDescent="0.25">
      <c r="A6">
        <f t="shared" si="0"/>
        <v>0.68232780394651271</v>
      </c>
      <c r="B6" s="4">
        <f t="shared" si="1"/>
        <v>2.8399460560990519E-10</v>
      </c>
      <c r="C6">
        <f t="shared" si="2"/>
        <v>2.3967136961154121</v>
      </c>
      <c r="D6">
        <f t="shared" si="3"/>
        <v>1.1778650801486101E-5</v>
      </c>
      <c r="E6">
        <v>0.01</v>
      </c>
      <c r="F6">
        <f t="shared" si="4"/>
        <v>0.68232780394651271</v>
      </c>
    </row>
    <row r="7" spans="1:6" x14ac:dyDescent="0.25">
      <c r="A7">
        <f t="shared" si="0"/>
        <v>0.68232780382801939</v>
      </c>
      <c r="B7" s="4">
        <f t="shared" si="1"/>
        <v>0</v>
      </c>
      <c r="C7">
        <f t="shared" si="2"/>
        <v>2.3967136956303046</v>
      </c>
      <c r="D7">
        <f t="shared" si="3"/>
        <v>1.1849332626212572E-10</v>
      </c>
      <c r="E7">
        <v>0.01</v>
      </c>
      <c r="F7">
        <f t="shared" si="4"/>
        <v>0.68232780382801939</v>
      </c>
    </row>
    <row r="8" spans="1:6" x14ac:dyDescent="0.25">
      <c r="A8">
        <f t="shared" si="0"/>
        <v>0.68232780382801939</v>
      </c>
      <c r="B8" s="4">
        <f t="shared" si="1"/>
        <v>0</v>
      </c>
      <c r="C8">
        <f t="shared" si="2"/>
        <v>2.3967136956303046</v>
      </c>
      <c r="D8">
        <f t="shared" si="3"/>
        <v>0</v>
      </c>
      <c r="E8">
        <v>0.01</v>
      </c>
      <c r="F8">
        <f t="shared" si="4"/>
        <v>0.68232780382801939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метод деления на два</vt:lpstr>
      <vt:lpstr>Метод золотого сечения </vt:lpstr>
      <vt:lpstr>Мктод хорд</vt:lpstr>
      <vt:lpstr>метод простых итераций</vt:lpstr>
      <vt:lpstr>мотод ньютена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nazar</dc:creator>
  <cp:lastModifiedBy>nazarbragin228@gmail.com</cp:lastModifiedBy>
  <dcterms:created xsi:type="dcterms:W3CDTF">2015-06-05T18:17:20Z</dcterms:created>
  <dcterms:modified xsi:type="dcterms:W3CDTF">2026-09-18T08:31:08Z</dcterms:modified>
</cp:coreProperties>
</file>