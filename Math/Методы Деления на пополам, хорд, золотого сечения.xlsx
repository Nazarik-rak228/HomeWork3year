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zar\Documents\study\P-8-24-Study\3 Kypc\Math\"/>
    </mc:Choice>
  </mc:AlternateContent>
  <xr:revisionPtr revIDLastSave="0" documentId="13_ncr:1_{68BF4CE2-B3F0-445D-957F-7D93192C6532}" xr6:coauthVersionLast="47" xr6:coauthVersionMax="47" xr10:uidLastSave="{00000000-0000-0000-0000-000000000000}"/>
  <bookViews>
    <workbookView xWindow="0" yWindow="0" windowWidth="28800" windowHeight="16200" activeTab="3" xr2:uid="{00000000-000D-0000-FFFF-FFFF00000000}"/>
  </bookViews>
  <sheets>
    <sheet name="метод деления на два" sheetId="1" r:id="rId1"/>
    <sheet name="Метод хорд" sheetId="3" r:id="rId2"/>
    <sheet name="Метод золотого сечения " sheetId="2" r:id="rId3"/>
    <sheet name="метод простых итераций" sheetId="4" r:id="rId4"/>
    <sheet name="мотод ньютен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B4" i="5"/>
  <c r="C4" i="5"/>
  <c r="D4" i="5"/>
  <c r="F4" i="5" s="1"/>
  <c r="A5" i="5"/>
  <c r="B5" i="5" s="1"/>
  <c r="C5" i="5"/>
  <c r="D3" i="5"/>
  <c r="C3" i="5"/>
  <c r="B3" i="5"/>
  <c r="A3" i="5"/>
  <c r="D2" i="5"/>
  <c r="C2" i="5"/>
  <c r="B2" i="5"/>
  <c r="A4" i="4"/>
  <c r="B4" i="4"/>
  <c r="C4" i="4" s="1"/>
  <c r="F4" i="4" s="1"/>
  <c r="A5" i="4"/>
  <c r="B5" i="4"/>
  <c r="C5" i="4"/>
  <c r="F5" i="4" s="1"/>
  <c r="A6" i="4"/>
  <c r="A7" i="4" s="1"/>
  <c r="B6" i="4"/>
  <c r="C6" i="4" s="1"/>
  <c r="F6" i="4" s="1"/>
  <c r="B2" i="4"/>
  <c r="C2" i="4" s="1"/>
  <c r="E2" i="2"/>
  <c r="A4" i="3"/>
  <c r="C4" i="3" s="1"/>
  <c r="B4" i="3"/>
  <c r="D4" i="3"/>
  <c r="E4" i="3"/>
  <c r="A3" i="3"/>
  <c r="B3" i="3"/>
  <c r="D3" i="3"/>
  <c r="E3" i="3"/>
  <c r="F2" i="3"/>
  <c r="G2" i="3"/>
  <c r="D2" i="3"/>
  <c r="E2" i="3"/>
  <c r="C2" i="3" s="1"/>
  <c r="I2" i="3" s="1"/>
  <c r="A4" i="1"/>
  <c r="B4" i="1"/>
  <c r="C4" i="1"/>
  <c r="D4" i="1"/>
  <c r="E4" i="1"/>
  <c r="F4" i="1"/>
  <c r="G4" i="1"/>
  <c r="I4" i="1"/>
  <c r="A5" i="1"/>
  <c r="B5" i="1"/>
  <c r="E5" i="1" s="1"/>
  <c r="C5" i="1"/>
  <c r="F5" i="1" s="1"/>
  <c r="D5" i="1"/>
  <c r="A6" i="1" s="1"/>
  <c r="G3" i="1"/>
  <c r="C3" i="1"/>
  <c r="B3" i="1"/>
  <c r="A3" i="1"/>
  <c r="D3" i="1"/>
  <c r="F2" i="1"/>
  <c r="D2" i="1"/>
  <c r="D2" i="2"/>
  <c r="C2" i="1"/>
  <c r="E2" i="1"/>
  <c r="A6" i="5" l="1"/>
  <c r="D5" i="5"/>
  <c r="F5" i="5" s="1"/>
  <c r="B7" i="4"/>
  <c r="C7" i="4" s="1"/>
  <c r="F7" i="4" s="1"/>
  <c r="A8" i="4"/>
  <c r="A3" i="4"/>
  <c r="B3" i="4" s="1"/>
  <c r="C2" i="2"/>
  <c r="F2" i="2" s="1"/>
  <c r="B3" i="2" s="1"/>
  <c r="E3" i="2" s="1"/>
  <c r="F4" i="3"/>
  <c r="G4" i="3"/>
  <c r="C3" i="3"/>
  <c r="G3" i="3"/>
  <c r="F3" i="3"/>
  <c r="I3" i="3"/>
  <c r="I4" i="3"/>
  <c r="D6" i="1"/>
  <c r="G5" i="1"/>
  <c r="I5" i="1" s="1"/>
  <c r="B6" i="1"/>
  <c r="I3" i="1"/>
  <c r="F3" i="1"/>
  <c r="E3" i="1"/>
  <c r="C6" i="5" l="1"/>
  <c r="B6" i="5"/>
  <c r="D6" i="5" s="1"/>
  <c r="F6" i="5" s="1"/>
  <c r="F3" i="5"/>
  <c r="B8" i="4"/>
  <c r="C8" i="4" s="1"/>
  <c r="F8" i="4" s="1"/>
  <c r="A9" i="4"/>
  <c r="C3" i="4"/>
  <c r="F3" i="4" s="1"/>
  <c r="B5" i="3"/>
  <c r="E5" i="3" s="1"/>
  <c r="A5" i="3"/>
  <c r="E6" i="1"/>
  <c r="G6" i="1"/>
  <c r="C6" i="1"/>
  <c r="F6" i="1" s="1"/>
  <c r="A7" i="1" s="1"/>
  <c r="A3" i="2"/>
  <c r="D3" i="2" s="1"/>
  <c r="A7" i="5" l="1"/>
  <c r="B9" i="4"/>
  <c r="C9" i="4" s="1"/>
  <c r="F9" i="4" s="1"/>
  <c r="D5" i="3"/>
  <c r="D7" i="1"/>
  <c r="B7" i="1"/>
  <c r="I6" i="1"/>
  <c r="C3" i="2"/>
  <c r="C7" i="5" l="1"/>
  <c r="B7" i="5"/>
  <c r="D7" i="5" s="1"/>
  <c r="F7" i="5" s="1"/>
  <c r="A10" i="4"/>
  <c r="F3" i="2"/>
  <c r="G3" i="2"/>
  <c r="I3" i="2" s="1"/>
  <c r="C5" i="3"/>
  <c r="G7" i="1"/>
  <c r="E7" i="1"/>
  <c r="C7" i="1"/>
  <c r="F7" i="1" s="1"/>
  <c r="B8" i="1" s="1"/>
  <c r="A8" i="5" l="1"/>
  <c r="B10" i="4"/>
  <c r="C10" i="4" s="1"/>
  <c r="F10" i="4" s="1"/>
  <c r="A4" i="2"/>
  <c r="B4" i="2"/>
  <c r="E4" i="2" s="1"/>
  <c r="F5" i="3"/>
  <c r="G5" i="3"/>
  <c r="I5" i="3" s="1"/>
  <c r="E8" i="1"/>
  <c r="A8" i="1"/>
  <c r="I7" i="1"/>
  <c r="B8" i="5" l="1"/>
  <c r="C8" i="5"/>
  <c r="A11" i="4"/>
  <c r="D4" i="2"/>
  <c r="C4" i="2"/>
  <c r="A6" i="3"/>
  <c r="B6" i="3"/>
  <c r="E6" i="3" s="1"/>
  <c r="D8" i="1"/>
  <c r="C8" i="1"/>
  <c r="F8" i="1" s="1"/>
  <c r="G8" i="1"/>
  <c r="I8" i="1" s="1"/>
  <c r="D8" i="5" l="1"/>
  <c r="F8" i="5" s="1"/>
  <c r="A9" i="5"/>
  <c r="B11" i="4"/>
  <c r="C11" i="4" s="1"/>
  <c r="F11" i="4" s="1"/>
  <c r="F4" i="2"/>
  <c r="G4" i="2"/>
  <c r="I4" i="2" s="1"/>
  <c r="A5" i="2"/>
  <c r="B5" i="2"/>
  <c r="E5" i="2" s="1"/>
  <c r="D6" i="3"/>
  <c r="A9" i="1"/>
  <c r="B9" i="1"/>
  <c r="B9" i="5" l="1"/>
  <c r="C9" i="5"/>
  <c r="A12" i="4"/>
  <c r="D5" i="2"/>
  <c r="C5" i="2"/>
  <c r="C6" i="3"/>
  <c r="G9" i="1"/>
  <c r="I9" i="1" s="1"/>
  <c r="E9" i="1"/>
  <c r="C9" i="1"/>
  <c r="F9" i="1" s="1"/>
  <c r="D9" i="1"/>
  <c r="D9" i="5" l="1"/>
  <c r="F9" i="5" s="1"/>
  <c r="A10" i="5"/>
  <c r="B12" i="4"/>
  <c r="C12" i="4" s="1"/>
  <c r="F12" i="4" s="1"/>
  <c r="F5" i="2"/>
  <c r="B6" i="2" s="1"/>
  <c r="E6" i="2" s="1"/>
  <c r="G5" i="2"/>
  <c r="I5" i="2" s="1"/>
  <c r="F6" i="3"/>
  <c r="G6" i="3"/>
  <c r="I6" i="3" s="1"/>
  <c r="A10" i="1"/>
  <c r="B10" i="1"/>
  <c r="B10" i="5" l="1"/>
  <c r="C10" i="5"/>
  <c r="A11" i="5"/>
  <c r="A13" i="4"/>
  <c r="A6" i="2"/>
  <c r="D6" i="2" s="1"/>
  <c r="A7" i="3"/>
  <c r="B7" i="3"/>
  <c r="E7" i="3" s="1"/>
  <c r="E10" i="1"/>
  <c r="G10" i="1"/>
  <c r="C10" i="1"/>
  <c r="F10" i="1" s="1"/>
  <c r="D10" i="1"/>
  <c r="B11" i="5" l="1"/>
  <c r="C11" i="5"/>
  <c r="A12" i="5"/>
  <c r="D10" i="5"/>
  <c r="F10" i="5" s="1"/>
  <c r="B13" i="4"/>
  <c r="C13" i="4" s="1"/>
  <c r="F13" i="4" s="1"/>
  <c r="C6" i="2"/>
  <c r="F6" i="2" s="1"/>
  <c r="D7" i="3"/>
  <c r="C7" i="3"/>
  <c r="A11" i="1"/>
  <c r="B11" i="1"/>
  <c r="I10" i="1"/>
  <c r="B12" i="5" l="1"/>
  <c r="C12" i="5"/>
  <c r="A13" i="5"/>
  <c r="D11" i="5"/>
  <c r="F11" i="5" s="1"/>
  <c r="A14" i="4"/>
  <c r="B14" i="4" s="1"/>
  <c r="C14" i="4" s="1"/>
  <c r="F14" i="4" s="1"/>
  <c r="B7" i="2"/>
  <c r="E7" i="2" s="1"/>
  <c r="A7" i="2"/>
  <c r="G6" i="2"/>
  <c r="I6" i="2" s="1"/>
  <c r="D7" i="2"/>
  <c r="C7" i="2"/>
  <c r="F7" i="3"/>
  <c r="G7" i="3"/>
  <c r="I7" i="3" s="1"/>
  <c r="A8" i="3"/>
  <c r="B8" i="3"/>
  <c r="E8" i="3" s="1"/>
  <c r="E11" i="1"/>
  <c r="G11" i="1"/>
  <c r="D11" i="1"/>
  <c r="C11" i="1"/>
  <c r="F11" i="1" s="1"/>
  <c r="C13" i="5" l="1"/>
  <c r="B13" i="5"/>
  <c r="D13" i="5" s="1"/>
  <c r="F13" i="5" s="1"/>
  <c r="D12" i="5"/>
  <c r="F12" i="5" s="1"/>
  <c r="F7" i="2"/>
  <c r="A8" i="2" s="1"/>
  <c r="G7" i="2"/>
  <c r="I7" i="2" s="1"/>
  <c r="D8" i="3"/>
  <c r="A12" i="1"/>
  <c r="B12" i="1"/>
  <c r="I11" i="1"/>
  <c r="A14" i="5" l="1"/>
  <c r="B8" i="2"/>
  <c r="E8" i="2" s="1"/>
  <c r="D8" i="2"/>
  <c r="C8" i="3"/>
  <c r="E12" i="1"/>
  <c r="G12" i="1"/>
  <c r="C12" i="1"/>
  <c r="F12" i="1" s="1"/>
  <c r="D12" i="1"/>
  <c r="B14" i="5" l="1"/>
  <c r="C14" i="5"/>
  <c r="C8" i="2"/>
  <c r="F8" i="2" s="1"/>
  <c r="G8" i="3"/>
  <c r="I8" i="3" s="1"/>
  <c r="F8" i="3"/>
  <c r="A13" i="1"/>
  <c r="B13" i="1"/>
  <c r="I12" i="1"/>
  <c r="D14" i="5" l="1"/>
  <c r="F14" i="5" s="1"/>
  <c r="A15" i="5"/>
  <c r="A9" i="2"/>
  <c r="B9" i="2"/>
  <c r="E9" i="2" s="1"/>
  <c r="G8" i="2"/>
  <c r="I8" i="2" s="1"/>
  <c r="D9" i="2"/>
  <c r="B9" i="3"/>
  <c r="E9" i="3" s="1"/>
  <c r="A9" i="3"/>
  <c r="G13" i="1"/>
  <c r="E13" i="1"/>
  <c r="C13" i="1"/>
  <c r="F13" i="1" s="1"/>
  <c r="D13" i="1"/>
  <c r="B15" i="5" l="1"/>
  <c r="C15" i="5"/>
  <c r="C9" i="2"/>
  <c r="F9" i="2" s="1"/>
  <c r="A10" i="2" s="1"/>
  <c r="D9" i="3"/>
  <c r="A14" i="1"/>
  <c r="B14" i="1"/>
  <c r="I13" i="1"/>
  <c r="D15" i="5" l="1"/>
  <c r="F15" i="5" s="1"/>
  <c r="G9" i="2"/>
  <c r="I9" i="2" s="1"/>
  <c r="D10" i="2"/>
  <c r="B10" i="2"/>
  <c r="E10" i="2" s="1"/>
  <c r="C9" i="3"/>
  <c r="E14" i="1"/>
  <c r="G14" i="1"/>
  <c r="C14" i="1"/>
  <c r="F14" i="1" s="1"/>
  <c r="D14" i="1"/>
  <c r="C10" i="2" l="1"/>
  <c r="F9" i="3"/>
  <c r="G9" i="3"/>
  <c r="I9" i="3" s="1"/>
  <c r="B15" i="1"/>
  <c r="A15" i="1"/>
  <c r="I14" i="1"/>
  <c r="F10" i="2" l="1"/>
  <c r="G10" i="2"/>
  <c r="I10" i="2" s="1"/>
  <c r="B10" i="3"/>
  <c r="E10" i="3" s="1"/>
  <c r="A10" i="3"/>
  <c r="D15" i="1"/>
  <c r="C15" i="1"/>
  <c r="F15" i="1" s="1"/>
  <c r="G15" i="1"/>
  <c r="I15" i="1" s="1"/>
  <c r="E15" i="1"/>
  <c r="B11" i="2" l="1"/>
  <c r="E11" i="2" s="1"/>
  <c r="A11" i="2"/>
  <c r="D10" i="3"/>
  <c r="A16" i="1"/>
  <c r="B16" i="1"/>
  <c r="C11" i="2" l="1"/>
  <c r="D11" i="2"/>
  <c r="C10" i="3"/>
  <c r="E16" i="1"/>
  <c r="G16" i="1"/>
  <c r="C16" i="1"/>
  <c r="F16" i="1" s="1"/>
  <c r="D16" i="1"/>
  <c r="F11" i="2" l="1"/>
  <c r="A12" i="2" s="1"/>
  <c r="G11" i="2"/>
  <c r="I11" i="2" s="1"/>
  <c r="G10" i="3"/>
  <c r="I10" i="3" s="1"/>
  <c r="F10" i="3"/>
  <c r="B17" i="1"/>
  <c r="A17" i="1"/>
  <c r="I16" i="1"/>
  <c r="D12" i="2" l="1"/>
  <c r="B12" i="2"/>
  <c r="E12" i="2" s="1"/>
  <c r="A11" i="3"/>
  <c r="B11" i="3"/>
  <c r="E11" i="3" s="1"/>
  <c r="D17" i="1"/>
  <c r="C17" i="1"/>
  <c r="F17" i="1" s="1"/>
  <c r="E17" i="1"/>
  <c r="G17" i="1"/>
  <c r="I17" i="1" s="1"/>
  <c r="C12" i="2" l="1"/>
  <c r="D11" i="3"/>
  <c r="C11" i="3"/>
  <c r="B18" i="1"/>
  <c r="A18" i="1"/>
  <c r="F12" i="2" l="1"/>
  <c r="G12" i="2"/>
  <c r="I12" i="2" s="1"/>
  <c r="G11" i="3"/>
  <c r="I11" i="3" s="1"/>
  <c r="F11" i="3"/>
  <c r="B12" i="3"/>
  <c r="E12" i="3" s="1"/>
  <c r="A12" i="3"/>
  <c r="D18" i="1"/>
  <c r="C18" i="1"/>
  <c r="F18" i="1" s="1"/>
  <c r="E18" i="1"/>
  <c r="G18" i="1"/>
  <c r="I18" i="1" s="1"/>
  <c r="D12" i="3" l="1"/>
  <c r="C12" i="3"/>
  <c r="A19" i="1"/>
  <c r="B19" i="1"/>
  <c r="F12" i="3" l="1"/>
  <c r="G12" i="3"/>
  <c r="I12" i="3" s="1"/>
  <c r="B13" i="3"/>
  <c r="E13" i="3" s="1"/>
  <c r="A13" i="3"/>
  <c r="E19" i="1"/>
  <c r="G19" i="1"/>
  <c r="I19" i="1" s="1"/>
  <c r="C19" i="1"/>
  <c r="F19" i="1" s="1"/>
  <c r="D19" i="1"/>
  <c r="D13" i="3" l="1"/>
  <c r="C13" i="3"/>
  <c r="B20" i="1"/>
  <c r="A20" i="1"/>
  <c r="G13" i="3" l="1"/>
  <c r="I13" i="3" s="1"/>
  <c r="F13" i="3"/>
  <c r="A14" i="3"/>
  <c r="B14" i="3"/>
  <c r="E14" i="3" s="1"/>
  <c r="C20" i="1"/>
  <c r="F20" i="1" s="1"/>
  <c r="D20" i="1"/>
  <c r="E20" i="1"/>
  <c r="G20" i="1"/>
  <c r="I20" i="1" s="1"/>
  <c r="D14" i="3" l="1"/>
  <c r="B21" i="1"/>
  <c r="A21" i="1"/>
  <c r="C14" i="3" l="1"/>
  <c r="D21" i="1"/>
  <c r="C21" i="1"/>
  <c r="F21" i="1" s="1"/>
  <c r="E21" i="1"/>
  <c r="G21" i="1"/>
  <c r="I21" i="1" s="1"/>
  <c r="G14" i="3" l="1"/>
  <c r="F14" i="3"/>
  <c r="A22" i="1"/>
  <c r="B22" i="1"/>
  <c r="A15" i="3" l="1"/>
  <c r="B15" i="3"/>
  <c r="E15" i="3" s="1"/>
  <c r="E22" i="1"/>
  <c r="G22" i="1"/>
  <c r="I22" i="1" s="1"/>
  <c r="C22" i="1"/>
  <c r="F22" i="1" s="1"/>
  <c r="D22" i="1"/>
  <c r="D15" i="3" l="1"/>
  <c r="C15" i="3" s="1"/>
  <c r="A23" i="1"/>
  <c r="B23" i="1"/>
  <c r="G15" i="3" l="1"/>
  <c r="F15" i="3"/>
  <c r="A16" i="3"/>
  <c r="B16" i="3"/>
  <c r="E16" i="3" s="1"/>
  <c r="E23" i="1"/>
  <c r="G23" i="1"/>
  <c r="D23" i="1"/>
  <c r="C23" i="1"/>
  <c r="F23" i="1" s="1"/>
  <c r="D16" i="3" l="1"/>
  <c r="A24" i="1"/>
  <c r="B24" i="1"/>
  <c r="I23" i="1"/>
  <c r="C16" i="3" l="1"/>
  <c r="G24" i="1"/>
  <c r="E24" i="1"/>
  <c r="C24" i="1"/>
  <c r="F24" i="1" s="1"/>
  <c r="D24" i="1"/>
  <c r="G16" i="3" l="1"/>
  <c r="F16" i="3"/>
  <c r="A25" i="1"/>
  <c r="B25" i="1"/>
  <c r="I24" i="1"/>
  <c r="B17" i="3" l="1"/>
  <c r="E17" i="3" s="1"/>
  <c r="A17" i="3"/>
  <c r="E25" i="1"/>
  <c r="G25" i="1"/>
  <c r="C25" i="1"/>
  <c r="F25" i="1" s="1"/>
  <c r="D25" i="1"/>
  <c r="D17" i="3" l="1"/>
  <c r="C17" i="3"/>
  <c r="A26" i="1"/>
  <c r="B26" i="1"/>
  <c r="I25" i="1"/>
  <c r="F17" i="3" l="1"/>
  <c r="G17" i="3"/>
  <c r="A18" i="3"/>
  <c r="B18" i="3"/>
  <c r="E18" i="3" s="1"/>
  <c r="E26" i="1"/>
  <c r="G26" i="1"/>
  <c r="C26" i="1"/>
  <c r="F26" i="1" s="1"/>
  <c r="D26" i="1"/>
  <c r="D18" i="3" l="1"/>
  <c r="C18" i="3"/>
  <c r="A27" i="1"/>
  <c r="B27" i="1"/>
  <c r="I26" i="1"/>
  <c r="F18" i="3" l="1"/>
  <c r="G18" i="3"/>
  <c r="A19" i="3"/>
  <c r="B19" i="3"/>
  <c r="E19" i="3" s="1"/>
  <c r="G27" i="1"/>
  <c r="E27" i="1"/>
  <c r="D27" i="1"/>
  <c r="C27" i="1"/>
  <c r="F27" i="1" s="1"/>
  <c r="D19" i="3" l="1"/>
  <c r="C19" i="3"/>
  <c r="A28" i="1"/>
  <c r="B28" i="1"/>
  <c r="I27" i="1"/>
  <c r="F19" i="3" l="1"/>
  <c r="G19" i="3"/>
  <c r="A20" i="3"/>
  <c r="B20" i="3"/>
  <c r="E20" i="3" s="1"/>
  <c r="E28" i="1"/>
  <c r="G28" i="1"/>
  <c r="C28" i="1"/>
  <c r="F28" i="1" s="1"/>
  <c r="D28" i="1"/>
  <c r="D20" i="3" l="1"/>
  <c r="A29" i="1"/>
  <c r="B29" i="1"/>
  <c r="I28" i="1"/>
  <c r="C20" i="3" l="1"/>
  <c r="E29" i="1"/>
  <c r="G29" i="1"/>
  <c r="D29" i="1"/>
  <c r="C29" i="1"/>
  <c r="F29" i="1" s="1"/>
  <c r="F20" i="3" l="1"/>
  <c r="G20" i="3"/>
  <c r="B30" i="1"/>
  <c r="A30" i="1"/>
  <c r="I29" i="1"/>
  <c r="B21" i="3" l="1"/>
  <c r="E21" i="3" s="1"/>
  <c r="A21" i="3"/>
  <c r="D30" i="1"/>
  <c r="C30" i="1"/>
  <c r="F30" i="1" s="1"/>
  <c r="G30" i="1"/>
  <c r="I30" i="1" s="1"/>
  <c r="E30" i="1"/>
  <c r="D21" i="3" l="1"/>
  <c r="C21" i="3" s="1"/>
  <c r="A31" i="1"/>
  <c r="B31" i="1"/>
  <c r="F21" i="3" l="1"/>
  <c r="G21" i="3"/>
  <c r="E31" i="1"/>
  <c r="G31" i="1"/>
  <c r="I31" i="1" s="1"/>
  <c r="C31" i="1"/>
  <c r="F31" i="1" s="1"/>
  <c r="D31" i="1"/>
  <c r="B32" i="1" l="1"/>
  <c r="A32" i="1"/>
  <c r="C32" i="1" l="1"/>
  <c r="F32" i="1" s="1"/>
  <c r="D32" i="1"/>
  <c r="E32" i="1"/>
  <c r="G32" i="1"/>
  <c r="I32" i="1" s="1"/>
  <c r="B33" i="1" l="1"/>
  <c r="A33" i="1"/>
  <c r="C33" i="1" l="1"/>
  <c r="F33" i="1" s="1"/>
  <c r="D33" i="1"/>
  <c r="G33" i="1"/>
  <c r="I33" i="1" s="1"/>
  <c r="E33" i="1"/>
  <c r="I16" i="3" l="1"/>
  <c r="I19" i="3"/>
  <c r="I14" i="3"/>
  <c r="I20" i="3"/>
  <c r="I15" i="3"/>
  <c r="I17" i="3"/>
  <c r="I21" i="3"/>
  <c r="I18" i="3"/>
  <c r="F2" i="5"/>
</calcChain>
</file>

<file path=xl/sharedStrings.xml><?xml version="1.0" encoding="utf-8"?>
<sst xmlns="http://schemas.openxmlformats.org/spreadsheetml/2006/main" count="42" uniqueCount="22">
  <si>
    <t>a</t>
  </si>
  <si>
    <t>b</t>
  </si>
  <si>
    <t>xi</t>
  </si>
  <si>
    <t>F a</t>
  </si>
  <si>
    <t>F b</t>
  </si>
  <si>
    <t>F xi</t>
  </si>
  <si>
    <t xml:space="preserve"> dx</t>
  </si>
  <si>
    <t xml:space="preserve">Fa </t>
  </si>
  <si>
    <t>Fb</t>
  </si>
  <si>
    <t xml:space="preserve">dx </t>
  </si>
  <si>
    <t xml:space="preserve">сужветсяс там - где корень </t>
  </si>
  <si>
    <t xml:space="preserve">одно стоит на масте - другое двигается к истинному корню </t>
  </si>
  <si>
    <t xml:space="preserve">  </t>
  </si>
  <si>
    <t xml:space="preserve">где dx b | Fxi|  меньше погрешности - там и ответ - соответствующий x </t>
  </si>
  <si>
    <t>Epsilon</t>
  </si>
  <si>
    <t>Ответ</t>
  </si>
  <si>
    <t>fxi</t>
  </si>
  <si>
    <t>dx</t>
  </si>
  <si>
    <t>const</t>
  </si>
  <si>
    <t>e</t>
  </si>
  <si>
    <t>Для этого метода нужно преобразовать уровнение к x= Фи(x)</t>
  </si>
  <si>
    <t>F'xi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</si>
</sst>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0" xfId="0" applyFont="1" applyFill="1"/>
    <xf numFmtId="164" fontId="2" fillId="3" borderId="0" xfId="0" applyNumberFormat="1" applyFont="1" applyFill="1"/>
    <xf numFmtId="164" fontId="0" fillId="0" borderId="0" xfId="0" applyNumberForma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>
      <selection activeCell="J35" sqref="J3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15</v>
      </c>
    </row>
    <row r="2" spans="1:13" x14ac:dyDescent="0.25">
      <c r="A2">
        <v>0</v>
      </c>
      <c r="B2">
        <v>1</v>
      </c>
      <c r="C2">
        <f>(A2+B2)/2</f>
        <v>0.5</v>
      </c>
      <c r="D2">
        <f>A2^3 + 3*A2 - 1</f>
        <v>-1</v>
      </c>
      <c r="E2">
        <f>(B2^3)+B2-1</f>
        <v>1</v>
      </c>
      <c r="F2">
        <f>C2^3 + 3*C2 - 1</f>
        <v>0.625</v>
      </c>
      <c r="H2">
        <v>0.01</v>
      </c>
    </row>
    <row r="3" spans="1:13" x14ac:dyDescent="0.25">
      <c r="A3">
        <f>IF(D2*F2&lt;0, A2, C2)</f>
        <v>0</v>
      </c>
      <c r="B3">
        <f>IF(D2*F2&lt;0, C2, B2)</f>
        <v>0.5</v>
      </c>
      <c r="C3">
        <f>(A3+B3)/2</f>
        <v>0.25</v>
      </c>
      <c r="D3">
        <f t="shared" ref="D3" si="0">A3^3 + 3*A3 - 1</f>
        <v>-1</v>
      </c>
      <c r="E3">
        <f t="shared" ref="E3" si="1">(B3^3)+B3-1</f>
        <v>-0.375</v>
      </c>
      <c r="F3">
        <f t="shared" ref="F3" si="2">C3^3 + 3*C3 - 1</f>
        <v>-0.234375</v>
      </c>
      <c r="G3">
        <f>ABS(B3-A3)</f>
        <v>0.5</v>
      </c>
      <c r="H3">
        <v>0.01</v>
      </c>
      <c r="I3" t="str">
        <f>IF(G3&lt;H3, C3, "Не ответ")</f>
        <v>Не ответ</v>
      </c>
    </row>
    <row r="4" spans="1:13" x14ac:dyDescent="0.25">
      <c r="A4">
        <f t="shared" ref="A4:A33" si="3">IF(D3*F3&lt;0, A3, C3)</f>
        <v>0.25</v>
      </c>
      <c r="B4">
        <f t="shared" ref="B4:B33" si="4">IF(D3*F3&lt;0, C3, B3)</f>
        <v>0.5</v>
      </c>
      <c r="C4">
        <f t="shared" ref="C4:C33" si="5">(A4+B4)/2</f>
        <v>0.375</v>
      </c>
      <c r="D4">
        <f t="shared" ref="D4:D33" si="6">A4^3 + 3*A4 - 1</f>
        <v>-0.234375</v>
      </c>
      <c r="E4">
        <f t="shared" ref="E4:E33" si="7">(B4^3)+B4-1</f>
        <v>-0.375</v>
      </c>
      <c r="F4">
        <f t="shared" ref="F4:F33" si="8">C4^3 + 3*C4 - 1</f>
        <v>0.177734375</v>
      </c>
      <c r="G4">
        <f t="shared" ref="G4:G33" si="9">ABS(B4-A4)</f>
        <v>0.25</v>
      </c>
      <c r="H4">
        <v>0.01</v>
      </c>
      <c r="I4" t="str">
        <f t="shared" ref="I4:I33" si="10">IF(G4&lt;H4, C4, "Не ответ")</f>
        <v>Не ответ</v>
      </c>
    </row>
    <row r="5" spans="1:13" x14ac:dyDescent="0.25">
      <c r="A5">
        <f t="shared" si="3"/>
        <v>0.25</v>
      </c>
      <c r="B5">
        <f t="shared" si="4"/>
        <v>0.375</v>
      </c>
      <c r="C5">
        <f t="shared" si="5"/>
        <v>0.3125</v>
      </c>
      <c r="D5">
        <f t="shared" si="6"/>
        <v>-0.234375</v>
      </c>
      <c r="E5">
        <f t="shared" si="7"/>
        <v>-0.572265625</v>
      </c>
      <c r="F5">
        <f t="shared" si="8"/>
        <v>-3.1982421875E-2</v>
      </c>
      <c r="G5">
        <f t="shared" si="9"/>
        <v>0.125</v>
      </c>
      <c r="H5">
        <v>0.01</v>
      </c>
      <c r="I5" t="str">
        <f t="shared" si="10"/>
        <v>Не ответ</v>
      </c>
      <c r="M5" t="s">
        <v>13</v>
      </c>
    </row>
    <row r="6" spans="1:13" x14ac:dyDescent="0.25">
      <c r="A6">
        <f t="shared" si="3"/>
        <v>0.3125</v>
      </c>
      <c r="B6">
        <f t="shared" si="4"/>
        <v>0.375</v>
      </c>
      <c r="C6">
        <f t="shared" si="5"/>
        <v>0.34375</v>
      </c>
      <c r="D6">
        <f t="shared" si="6"/>
        <v>-3.1982421875E-2</v>
      </c>
      <c r="E6">
        <f t="shared" si="7"/>
        <v>-0.572265625</v>
      </c>
      <c r="F6">
        <f t="shared" si="8"/>
        <v>7.1868896484375E-2</v>
      </c>
      <c r="G6">
        <f t="shared" si="9"/>
        <v>6.25E-2</v>
      </c>
      <c r="H6">
        <v>0.01</v>
      </c>
      <c r="I6" t="str">
        <f t="shared" si="10"/>
        <v>Не ответ</v>
      </c>
      <c r="M6" t="s">
        <v>10</v>
      </c>
    </row>
    <row r="7" spans="1:13" x14ac:dyDescent="0.25">
      <c r="A7">
        <f t="shared" si="3"/>
        <v>0.3125</v>
      </c>
      <c r="B7">
        <f t="shared" si="4"/>
        <v>0.34375</v>
      </c>
      <c r="C7">
        <f t="shared" si="5"/>
        <v>0.328125</v>
      </c>
      <c r="D7">
        <f t="shared" si="6"/>
        <v>-3.1982421875E-2</v>
      </c>
      <c r="E7">
        <f t="shared" si="7"/>
        <v>-0.615631103515625</v>
      </c>
      <c r="F7">
        <f t="shared" si="8"/>
        <v>1.9702911376953125E-2</v>
      </c>
      <c r="G7">
        <f t="shared" si="9"/>
        <v>3.125E-2</v>
      </c>
      <c r="H7">
        <v>0.01</v>
      </c>
      <c r="I7" t="str">
        <f t="shared" si="10"/>
        <v>Не ответ</v>
      </c>
    </row>
    <row r="8" spans="1:13" x14ac:dyDescent="0.25">
      <c r="A8">
        <f t="shared" si="3"/>
        <v>0.3125</v>
      </c>
      <c r="B8">
        <f t="shared" si="4"/>
        <v>0.328125</v>
      </c>
      <c r="C8">
        <f t="shared" si="5"/>
        <v>0.3203125</v>
      </c>
      <c r="D8">
        <f t="shared" si="6"/>
        <v>-3.1982421875E-2</v>
      </c>
      <c r="E8">
        <f t="shared" si="7"/>
        <v>-0.63654708862304688</v>
      </c>
      <c r="F8">
        <f t="shared" si="8"/>
        <v>-6.1984062194824219E-3</v>
      </c>
      <c r="G8">
        <f t="shared" si="9"/>
        <v>1.5625E-2</v>
      </c>
      <c r="H8">
        <v>0.01</v>
      </c>
      <c r="I8" t="str">
        <f t="shared" si="10"/>
        <v>Не ответ</v>
      </c>
    </row>
    <row r="9" spans="1:13" x14ac:dyDescent="0.25">
      <c r="A9">
        <f t="shared" si="3"/>
        <v>0.3203125</v>
      </c>
      <c r="B9">
        <f t="shared" si="4"/>
        <v>0.328125</v>
      </c>
      <c r="C9">
        <f t="shared" si="5"/>
        <v>0.32421875</v>
      </c>
      <c r="D9">
        <f t="shared" si="6"/>
        <v>-6.1984062194824219E-3</v>
      </c>
      <c r="E9">
        <f t="shared" si="7"/>
        <v>-0.63654708862304688</v>
      </c>
      <c r="F9">
        <f t="shared" si="8"/>
        <v>6.7374110221862793E-3</v>
      </c>
      <c r="G9">
        <f t="shared" si="9"/>
        <v>7.8125E-3</v>
      </c>
      <c r="H9">
        <v>0.01</v>
      </c>
      <c r="I9">
        <f t="shared" si="10"/>
        <v>0.32421875</v>
      </c>
    </row>
    <row r="10" spans="1:13" x14ac:dyDescent="0.25">
      <c r="A10">
        <f t="shared" si="3"/>
        <v>0.3203125</v>
      </c>
      <c r="B10">
        <f t="shared" si="4"/>
        <v>0.32421875</v>
      </c>
      <c r="C10">
        <f t="shared" si="5"/>
        <v>0.322265625</v>
      </c>
      <c r="D10">
        <f t="shared" si="6"/>
        <v>-6.1984062194824219E-3</v>
      </c>
      <c r="E10">
        <f t="shared" si="7"/>
        <v>-0.64170008897781372</v>
      </c>
      <c r="F10">
        <f t="shared" si="8"/>
        <v>2.6581436395645142E-4</v>
      </c>
      <c r="G10">
        <f t="shared" si="9"/>
        <v>3.90625E-3</v>
      </c>
      <c r="H10">
        <v>0.01</v>
      </c>
      <c r="I10">
        <f t="shared" si="10"/>
        <v>0.322265625</v>
      </c>
    </row>
    <row r="11" spans="1:13" x14ac:dyDescent="0.25">
      <c r="A11">
        <f t="shared" si="3"/>
        <v>0.3203125</v>
      </c>
      <c r="B11">
        <f t="shared" si="4"/>
        <v>0.322265625</v>
      </c>
      <c r="C11">
        <f t="shared" si="5"/>
        <v>0.3212890625</v>
      </c>
      <c r="D11">
        <f t="shared" si="6"/>
        <v>-6.1984062194824219E-3</v>
      </c>
      <c r="E11">
        <f t="shared" si="7"/>
        <v>-0.64426543563604355</v>
      </c>
      <c r="F11">
        <f t="shared" si="8"/>
        <v>-2.9672151431441307E-3</v>
      </c>
      <c r="G11">
        <f t="shared" si="9"/>
        <v>1.953125E-3</v>
      </c>
      <c r="H11">
        <v>0.01</v>
      </c>
      <c r="I11">
        <f t="shared" si="10"/>
        <v>0.3212890625</v>
      </c>
    </row>
    <row r="12" spans="1:13" x14ac:dyDescent="0.25">
      <c r="A12">
        <f t="shared" si="3"/>
        <v>0.3212890625</v>
      </c>
      <c r="B12">
        <f t="shared" si="4"/>
        <v>0.322265625</v>
      </c>
      <c r="C12">
        <f t="shared" si="5"/>
        <v>0.32177734375</v>
      </c>
      <c r="D12">
        <f t="shared" si="6"/>
        <v>-2.9672151431441307E-3</v>
      </c>
      <c r="E12">
        <f t="shared" si="7"/>
        <v>-0.64426543563604355</v>
      </c>
      <c r="F12">
        <f t="shared" si="8"/>
        <v>-1.3509305426850915E-3</v>
      </c>
      <c r="G12">
        <f t="shared" si="9"/>
        <v>9.765625E-4</v>
      </c>
      <c r="H12">
        <v>0.01</v>
      </c>
      <c r="I12">
        <f t="shared" si="10"/>
        <v>0.32177734375</v>
      </c>
    </row>
    <row r="13" spans="1:13" x14ac:dyDescent="0.25">
      <c r="A13">
        <f t="shared" si="3"/>
        <v>0.32177734375</v>
      </c>
      <c r="B13">
        <f t="shared" si="4"/>
        <v>0.322265625</v>
      </c>
      <c r="C13">
        <f t="shared" si="5"/>
        <v>0.322021484375</v>
      </c>
      <c r="D13">
        <f t="shared" si="6"/>
        <v>-1.3509305426850915E-3</v>
      </c>
      <c r="E13">
        <f t="shared" si="7"/>
        <v>-0.64426543563604355</v>
      </c>
      <c r="F13">
        <f t="shared" si="8"/>
        <v>-5.4261567129287869E-4</v>
      </c>
      <c r="G13">
        <f t="shared" si="9"/>
        <v>4.8828125E-4</v>
      </c>
      <c r="H13">
        <v>0.01</v>
      </c>
      <c r="I13">
        <f t="shared" si="10"/>
        <v>0.322021484375</v>
      </c>
    </row>
    <row r="14" spans="1:13" x14ac:dyDescent="0.25">
      <c r="A14">
        <f t="shared" si="3"/>
        <v>0.322021484375</v>
      </c>
      <c r="B14">
        <f t="shared" si="4"/>
        <v>0.322265625</v>
      </c>
      <c r="C14">
        <f t="shared" si="5"/>
        <v>0.3221435546875</v>
      </c>
      <c r="D14">
        <f t="shared" si="6"/>
        <v>-5.4261567129287869E-4</v>
      </c>
      <c r="E14">
        <f t="shared" si="7"/>
        <v>-0.64426543563604355</v>
      </c>
      <c r="F14">
        <f t="shared" si="8"/>
        <v>-1.3841505460732151E-4</v>
      </c>
      <c r="G14">
        <f t="shared" si="9"/>
        <v>2.44140625E-4</v>
      </c>
      <c r="H14">
        <v>0.01</v>
      </c>
      <c r="I14">
        <f t="shared" si="10"/>
        <v>0.3221435546875</v>
      </c>
    </row>
    <row r="15" spans="1:13" x14ac:dyDescent="0.25">
      <c r="A15">
        <f t="shared" si="3"/>
        <v>0.3221435546875</v>
      </c>
      <c r="B15">
        <f t="shared" si="4"/>
        <v>0.322265625</v>
      </c>
      <c r="C15">
        <f t="shared" si="5"/>
        <v>0.32220458984375</v>
      </c>
      <c r="D15">
        <f t="shared" si="6"/>
        <v>-1.3841505460732151E-4</v>
      </c>
      <c r="E15">
        <f t="shared" si="7"/>
        <v>-0.64426543563604355</v>
      </c>
      <c r="F15">
        <f t="shared" si="8"/>
        <v>6.3696053757666959E-5</v>
      </c>
      <c r="G15">
        <f t="shared" si="9"/>
        <v>1.220703125E-4</v>
      </c>
      <c r="H15">
        <v>0.01</v>
      </c>
      <c r="I15">
        <f t="shared" si="10"/>
        <v>0.32220458984375</v>
      </c>
    </row>
    <row r="16" spans="1:13" x14ac:dyDescent="0.25">
      <c r="A16">
        <f t="shared" si="3"/>
        <v>0.3221435546875</v>
      </c>
      <c r="B16">
        <f t="shared" si="4"/>
        <v>0.32220458984375</v>
      </c>
      <c r="C16">
        <f t="shared" si="5"/>
        <v>0.322174072265625</v>
      </c>
      <c r="D16">
        <f t="shared" si="6"/>
        <v>-1.3841505460732151E-4</v>
      </c>
      <c r="E16">
        <f t="shared" si="7"/>
        <v>-0.64434548363374233</v>
      </c>
      <c r="F16">
        <f t="shared" si="8"/>
        <v>-3.7360400568786645E-5</v>
      </c>
      <c r="G16">
        <f t="shared" si="9"/>
        <v>6.103515625E-5</v>
      </c>
      <c r="H16">
        <v>0.01</v>
      </c>
      <c r="I16">
        <f t="shared" si="10"/>
        <v>0.322174072265625</v>
      </c>
    </row>
    <row r="17" spans="1:9" x14ac:dyDescent="0.25">
      <c r="A17">
        <f t="shared" si="3"/>
        <v>0.322174072265625</v>
      </c>
      <c r="B17">
        <f t="shared" si="4"/>
        <v>0.32220458984375</v>
      </c>
      <c r="C17">
        <f t="shared" si="5"/>
        <v>0.3221893310546875</v>
      </c>
      <c r="D17">
        <f t="shared" si="6"/>
        <v>-3.7360400568786645E-5</v>
      </c>
      <c r="E17">
        <f t="shared" si="7"/>
        <v>-0.64434548363374233</v>
      </c>
      <c r="F17">
        <f t="shared" si="8"/>
        <v>1.3167601547792174E-5</v>
      </c>
      <c r="G17">
        <f t="shared" si="9"/>
        <v>3.0517578125E-5</v>
      </c>
      <c r="H17">
        <v>0.01</v>
      </c>
      <c r="I17">
        <f t="shared" si="10"/>
        <v>0.3221893310546875</v>
      </c>
    </row>
    <row r="18" spans="1:9" x14ac:dyDescent="0.25">
      <c r="A18">
        <f t="shared" si="3"/>
        <v>0.322174072265625</v>
      </c>
      <c r="B18">
        <f t="shared" si="4"/>
        <v>0.3221893310546875</v>
      </c>
      <c r="C18">
        <f t="shared" si="5"/>
        <v>0.32218170166015625</v>
      </c>
      <c r="D18">
        <f t="shared" si="6"/>
        <v>-3.7360400568786645E-5</v>
      </c>
      <c r="E18">
        <f t="shared" si="7"/>
        <v>-0.64436549450782721</v>
      </c>
      <c r="F18">
        <f t="shared" si="8"/>
        <v>-1.2096455770826964E-5</v>
      </c>
      <c r="G18">
        <f t="shared" si="9"/>
        <v>1.52587890625E-5</v>
      </c>
      <c r="H18">
        <v>0.01</v>
      </c>
      <c r="I18">
        <f t="shared" si="10"/>
        <v>0.32218170166015625</v>
      </c>
    </row>
    <row r="19" spans="1:9" x14ac:dyDescent="0.25">
      <c r="A19">
        <f t="shared" si="3"/>
        <v>0.32218170166015625</v>
      </c>
      <c r="B19">
        <f t="shared" si="4"/>
        <v>0.3221893310546875</v>
      </c>
      <c r="C19">
        <f t="shared" si="5"/>
        <v>0.32218551635742188</v>
      </c>
      <c r="D19">
        <f t="shared" si="6"/>
        <v>-1.2096455770826964E-5</v>
      </c>
      <c r="E19">
        <f t="shared" si="7"/>
        <v>-0.64436549450782721</v>
      </c>
      <c r="F19">
        <f t="shared" si="8"/>
        <v>5.3555882328915061E-7</v>
      </c>
      <c r="G19">
        <f t="shared" si="9"/>
        <v>7.62939453125E-6</v>
      </c>
      <c r="H19">
        <v>0.01</v>
      </c>
      <c r="I19">
        <f t="shared" si="10"/>
        <v>0.32218551635742188</v>
      </c>
    </row>
    <row r="20" spans="1:9" x14ac:dyDescent="0.25">
      <c r="A20">
        <f t="shared" si="3"/>
        <v>0.32218170166015625</v>
      </c>
      <c r="B20">
        <f t="shared" si="4"/>
        <v>0.32218551635742188</v>
      </c>
      <c r="C20">
        <f t="shared" si="5"/>
        <v>0.32218360900878906</v>
      </c>
      <c r="D20">
        <f t="shared" si="6"/>
        <v>-1.2096455770826964E-5</v>
      </c>
      <c r="E20">
        <f t="shared" si="7"/>
        <v>-0.64437049715602046</v>
      </c>
      <c r="F20">
        <f t="shared" si="8"/>
        <v>-5.7804519900672702E-6</v>
      </c>
      <c r="G20">
        <f t="shared" si="9"/>
        <v>3.814697265625E-6</v>
      </c>
      <c r="H20">
        <v>0.01</v>
      </c>
      <c r="I20">
        <f t="shared" si="10"/>
        <v>0.32218360900878906</v>
      </c>
    </row>
    <row r="21" spans="1:9" x14ac:dyDescent="0.25">
      <c r="A21">
        <f t="shared" si="3"/>
        <v>0.32218360900878906</v>
      </c>
      <c r="B21">
        <f t="shared" si="4"/>
        <v>0.32218551635742188</v>
      </c>
      <c r="C21">
        <f t="shared" si="5"/>
        <v>0.32218456268310547</v>
      </c>
      <c r="D21">
        <f t="shared" si="6"/>
        <v>-5.7804519900672702E-6</v>
      </c>
      <c r="E21">
        <f t="shared" si="7"/>
        <v>-0.64437049715602046</v>
      </c>
      <c r="F21">
        <f t="shared" si="8"/>
        <v>-2.6224474625191618E-6</v>
      </c>
      <c r="G21">
        <f t="shared" si="9"/>
        <v>1.9073486328125E-6</v>
      </c>
      <c r="H21">
        <v>0.01</v>
      </c>
      <c r="I21">
        <f t="shared" si="10"/>
        <v>0.32218456268310547</v>
      </c>
    </row>
    <row r="22" spans="1:9" x14ac:dyDescent="0.25">
      <c r="A22">
        <f t="shared" si="3"/>
        <v>0.32218456268310547</v>
      </c>
      <c r="B22">
        <f t="shared" si="4"/>
        <v>0.32218551635742188</v>
      </c>
      <c r="C22">
        <f t="shared" si="5"/>
        <v>0.32218503952026367</v>
      </c>
      <c r="D22">
        <f t="shared" si="6"/>
        <v>-2.6224474625191618E-6</v>
      </c>
      <c r="E22">
        <f t="shared" si="7"/>
        <v>-0.64437049715602046</v>
      </c>
      <c r="F22">
        <f t="shared" si="8"/>
        <v>-1.0434445394391645E-6</v>
      </c>
      <c r="G22">
        <f t="shared" si="9"/>
        <v>9.5367431640625E-7</v>
      </c>
      <c r="H22">
        <v>0.01</v>
      </c>
      <c r="I22">
        <f t="shared" si="10"/>
        <v>0.32218503952026367</v>
      </c>
    </row>
    <row r="23" spans="1:9" x14ac:dyDescent="0.25">
      <c r="A23">
        <f t="shared" si="3"/>
        <v>0.32218503952026367</v>
      </c>
      <c r="B23">
        <f t="shared" si="4"/>
        <v>0.32218551635742188</v>
      </c>
      <c r="C23">
        <f t="shared" si="5"/>
        <v>0.32218527793884277</v>
      </c>
      <c r="D23">
        <f t="shared" si="6"/>
        <v>-1.0434445394391645E-6</v>
      </c>
      <c r="E23">
        <f t="shared" si="7"/>
        <v>-0.64437049715602046</v>
      </c>
      <c r="F23">
        <f t="shared" si="8"/>
        <v>-2.5394291303104666E-7</v>
      </c>
      <c r="G23">
        <f t="shared" si="9"/>
        <v>4.76837158203125E-7</v>
      </c>
      <c r="H23">
        <v>0.01</v>
      </c>
      <c r="I23">
        <f t="shared" si="10"/>
        <v>0.32218527793884277</v>
      </c>
    </row>
    <row r="24" spans="1:9" x14ac:dyDescent="0.25">
      <c r="A24">
        <f t="shared" si="3"/>
        <v>0.32218527793884277</v>
      </c>
      <c r="B24">
        <f t="shared" si="4"/>
        <v>0.32218551635742188</v>
      </c>
      <c r="C24">
        <f t="shared" si="5"/>
        <v>0.32218539714813232</v>
      </c>
      <c r="D24">
        <f t="shared" si="6"/>
        <v>-2.5394291303104666E-7</v>
      </c>
      <c r="E24">
        <f t="shared" si="7"/>
        <v>-0.64437049715602046</v>
      </c>
      <c r="F24">
        <f t="shared" si="8"/>
        <v>1.4080794130677532E-7</v>
      </c>
      <c r="G24">
        <f t="shared" si="9"/>
        <v>2.384185791015625E-7</v>
      </c>
      <c r="H24">
        <v>0.01</v>
      </c>
      <c r="I24">
        <f t="shared" si="10"/>
        <v>0.32218539714813232</v>
      </c>
    </row>
    <row r="25" spans="1:9" x14ac:dyDescent="0.25">
      <c r="A25">
        <f t="shared" si="3"/>
        <v>0.32218527793884277</v>
      </c>
      <c r="B25">
        <f t="shared" si="4"/>
        <v>0.32218539714813232</v>
      </c>
      <c r="C25">
        <f t="shared" si="5"/>
        <v>0.32218533754348755</v>
      </c>
      <c r="D25">
        <f t="shared" si="6"/>
        <v>-2.5394291303104666E-7</v>
      </c>
      <c r="E25">
        <f t="shared" si="7"/>
        <v>-0.64437065348832334</v>
      </c>
      <c r="F25">
        <f t="shared" si="8"/>
        <v>-5.6567489248315894E-8</v>
      </c>
      <c r="G25">
        <f t="shared" si="9"/>
        <v>1.1920928955078125E-7</v>
      </c>
      <c r="H25">
        <v>0.01</v>
      </c>
      <c r="I25">
        <f t="shared" si="10"/>
        <v>0.32218533754348755</v>
      </c>
    </row>
    <row r="26" spans="1:9" x14ac:dyDescent="0.25">
      <c r="A26">
        <f t="shared" si="3"/>
        <v>0.32218533754348755</v>
      </c>
      <c r="B26">
        <f t="shared" si="4"/>
        <v>0.32218539714813232</v>
      </c>
      <c r="C26">
        <f t="shared" si="5"/>
        <v>0.32218536734580994</v>
      </c>
      <c r="D26">
        <f t="shared" si="6"/>
        <v>-5.6567489248315894E-8</v>
      </c>
      <c r="E26">
        <f t="shared" si="7"/>
        <v>-0.64437065348832334</v>
      </c>
      <c r="F26">
        <f t="shared" si="8"/>
        <v>4.2120225085540142E-8</v>
      </c>
      <c r="G26">
        <f t="shared" si="9"/>
        <v>5.9604644775390625E-8</v>
      </c>
      <c r="H26">
        <v>0.01</v>
      </c>
      <c r="I26">
        <f t="shared" si="10"/>
        <v>0.32218536734580994</v>
      </c>
    </row>
    <row r="27" spans="1:9" x14ac:dyDescent="0.25">
      <c r="A27">
        <f t="shared" si="3"/>
        <v>0.32218533754348755</v>
      </c>
      <c r="B27">
        <f t="shared" si="4"/>
        <v>0.32218536734580994</v>
      </c>
      <c r="C27">
        <f t="shared" si="5"/>
        <v>0.32218535244464874</v>
      </c>
      <c r="D27">
        <f t="shared" si="6"/>
        <v>-5.6567489248315894E-8</v>
      </c>
      <c r="E27">
        <f t="shared" si="7"/>
        <v>-0.64437069257139468</v>
      </c>
      <c r="F27">
        <f t="shared" si="8"/>
        <v>-7.22363224792133E-9</v>
      </c>
      <c r="G27">
        <f t="shared" si="9"/>
        <v>2.9802322387695313E-8</v>
      </c>
      <c r="H27">
        <v>0.01</v>
      </c>
      <c r="I27">
        <f t="shared" si="10"/>
        <v>0.32218535244464874</v>
      </c>
    </row>
    <row r="28" spans="1:9" x14ac:dyDescent="0.25">
      <c r="A28">
        <f t="shared" si="3"/>
        <v>0.32218535244464874</v>
      </c>
      <c r="B28">
        <f t="shared" si="4"/>
        <v>0.32218536734580994</v>
      </c>
      <c r="C28">
        <f t="shared" si="5"/>
        <v>0.32218535989522934</v>
      </c>
      <c r="D28">
        <f t="shared" si="6"/>
        <v>-7.22363224792133E-9</v>
      </c>
      <c r="E28">
        <f t="shared" si="7"/>
        <v>-0.64437069257139468</v>
      </c>
      <c r="F28">
        <f t="shared" si="8"/>
        <v>1.7448296363298255E-8</v>
      </c>
      <c r="G28">
        <f t="shared" si="9"/>
        <v>1.4901161193847656E-8</v>
      </c>
      <c r="H28">
        <v>0.01</v>
      </c>
      <c r="I28">
        <f t="shared" si="10"/>
        <v>0.32218535989522934</v>
      </c>
    </row>
    <row r="29" spans="1:9" x14ac:dyDescent="0.25">
      <c r="A29">
        <f t="shared" si="3"/>
        <v>0.32218535244464874</v>
      </c>
      <c r="B29">
        <f t="shared" si="4"/>
        <v>0.32218535989522934</v>
      </c>
      <c r="C29">
        <f t="shared" si="5"/>
        <v>0.32218535616993904</v>
      </c>
      <c r="D29">
        <f t="shared" si="6"/>
        <v>-7.22363224792133E-9</v>
      </c>
      <c r="E29">
        <f t="shared" si="7"/>
        <v>-0.64437070234216232</v>
      </c>
      <c r="F29">
        <f t="shared" si="8"/>
        <v>5.1123321131996136E-9</v>
      </c>
      <c r="G29">
        <f t="shared" si="9"/>
        <v>7.4505805969238281E-9</v>
      </c>
      <c r="H29">
        <v>0.01</v>
      </c>
      <c r="I29">
        <f t="shared" si="10"/>
        <v>0.32218535616993904</v>
      </c>
    </row>
    <row r="30" spans="1:9" x14ac:dyDescent="0.25">
      <c r="A30">
        <f t="shared" si="3"/>
        <v>0.32218535244464874</v>
      </c>
      <c r="B30">
        <f t="shared" si="4"/>
        <v>0.32218535616993904</v>
      </c>
      <c r="C30">
        <f t="shared" si="5"/>
        <v>0.32218535430729389</v>
      </c>
      <c r="D30">
        <f t="shared" si="6"/>
        <v>-7.22363224792133E-9</v>
      </c>
      <c r="E30">
        <f t="shared" si="7"/>
        <v>-0.64437070722754597</v>
      </c>
      <c r="F30">
        <f t="shared" si="8"/>
        <v>-1.0556501228720094E-9</v>
      </c>
      <c r="G30">
        <f t="shared" si="9"/>
        <v>3.7252902984619141E-9</v>
      </c>
      <c r="H30">
        <v>0.01</v>
      </c>
      <c r="I30">
        <f t="shared" si="10"/>
        <v>0.32218535430729389</v>
      </c>
    </row>
    <row r="31" spans="1:9" x14ac:dyDescent="0.25">
      <c r="A31">
        <f t="shared" si="3"/>
        <v>0.32218535430729389</v>
      </c>
      <c r="B31">
        <f t="shared" si="4"/>
        <v>0.32218535616993904</v>
      </c>
      <c r="C31">
        <f t="shared" si="5"/>
        <v>0.32218535523861647</v>
      </c>
      <c r="D31">
        <f t="shared" si="6"/>
        <v>-1.0556501228720094E-9</v>
      </c>
      <c r="E31">
        <f t="shared" si="7"/>
        <v>-0.64437070722754597</v>
      </c>
      <c r="F31">
        <f t="shared" si="8"/>
        <v>2.0283410506749533E-9</v>
      </c>
      <c r="G31">
        <f t="shared" si="9"/>
        <v>1.862645149230957E-9</v>
      </c>
      <c r="H31">
        <v>0.01</v>
      </c>
      <c r="I31">
        <f t="shared" si="10"/>
        <v>0.32218535523861647</v>
      </c>
    </row>
    <row r="32" spans="1:9" x14ac:dyDescent="0.25">
      <c r="A32">
        <f t="shared" si="3"/>
        <v>0.32218535430729389</v>
      </c>
      <c r="B32">
        <f t="shared" si="4"/>
        <v>0.32218535523861647</v>
      </c>
      <c r="C32">
        <f t="shared" si="5"/>
        <v>0.32218535477295518</v>
      </c>
      <c r="D32">
        <f t="shared" si="6"/>
        <v>-1.0556501228720094E-9</v>
      </c>
      <c r="E32">
        <f t="shared" si="7"/>
        <v>-0.64437070844889188</v>
      </c>
      <c r="F32">
        <f t="shared" si="8"/>
        <v>4.863454083903207E-10</v>
      </c>
      <c r="G32">
        <f t="shared" si="9"/>
        <v>9.3132257461547852E-10</v>
      </c>
      <c r="H32">
        <v>0.01</v>
      </c>
      <c r="I32">
        <f t="shared" si="10"/>
        <v>0.32218535477295518</v>
      </c>
    </row>
    <row r="33" spans="1:9" x14ac:dyDescent="0.25">
      <c r="A33">
        <f t="shared" si="3"/>
        <v>0.32218535430729389</v>
      </c>
      <c r="B33">
        <f t="shared" si="4"/>
        <v>0.32218535477295518</v>
      </c>
      <c r="C33">
        <f t="shared" si="5"/>
        <v>0.32218535454012454</v>
      </c>
      <c r="D33">
        <f t="shared" si="6"/>
        <v>-1.0556501228720094E-9</v>
      </c>
      <c r="E33">
        <f t="shared" si="7"/>
        <v>-0.64437070905956495</v>
      </c>
      <c r="F33">
        <f t="shared" si="8"/>
        <v>-2.8465230172969314E-10</v>
      </c>
      <c r="G33">
        <f t="shared" si="9"/>
        <v>4.6566128730773926E-10</v>
      </c>
      <c r="H33">
        <v>0.01</v>
      </c>
      <c r="I33">
        <f t="shared" si="10"/>
        <v>0.32218535454012454</v>
      </c>
    </row>
  </sheetData>
  <conditionalFormatting sqref="I1:I1048576">
    <cfRule type="containsText" dxfId="0" priority="1" operator="containsText" text="Ответ">
      <formula>NOT(ISERROR(SEARCH("Ответ",I1)))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4007-B242-4866-BDB4-E9D073D572EC}">
  <dimension ref="A1:I21"/>
  <sheetViews>
    <sheetView zoomScale="138" workbookViewId="0">
      <selection activeCell="I5" sqref="I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15</v>
      </c>
    </row>
    <row r="2" spans="1:9" x14ac:dyDescent="0.25">
      <c r="A2">
        <v>0</v>
      </c>
      <c r="B2">
        <v>1</v>
      </c>
      <c r="C2">
        <f>(A2*E2-B2*D2)/(E2-D2)</f>
        <v>0.25</v>
      </c>
      <c r="D2">
        <f t="shared" ref="D2:F3" si="0">A2^3+3*A2-1</f>
        <v>-1</v>
      </c>
      <c r="E2">
        <f t="shared" si="0"/>
        <v>3</v>
      </c>
      <c r="F2">
        <f t="shared" si="0"/>
        <v>-0.234375</v>
      </c>
      <c r="G2">
        <f>ABS(C2-A2)</f>
        <v>0.25</v>
      </c>
      <c r="H2">
        <v>0.01</v>
      </c>
      <c r="I2" t="str">
        <f>IF(G2&lt;H2, C2, "Не ответ")</f>
        <v>Не ответ</v>
      </c>
    </row>
    <row r="3" spans="1:9" x14ac:dyDescent="0.25">
      <c r="A3">
        <f>IF(D2*F2&lt;0,A2,C2)</f>
        <v>0.25</v>
      </c>
      <c r="B3">
        <f>IF(D2*F2&lt;0,C2,B2)</f>
        <v>1</v>
      </c>
      <c r="C3">
        <f>(A3*E3-B3*D3)/(E3-D3)</f>
        <v>0.30434782608695654</v>
      </c>
      <c r="D3">
        <f t="shared" si="0"/>
        <v>-0.234375</v>
      </c>
      <c r="E3">
        <f t="shared" si="0"/>
        <v>3</v>
      </c>
      <c r="F3">
        <f t="shared" si="0"/>
        <v>-5.8765513273608905E-2</v>
      </c>
      <c r="G3">
        <f>ABS(C3-A3)</f>
        <v>5.4347826086956541E-2</v>
      </c>
      <c r="H3">
        <v>0.01</v>
      </c>
      <c r="I3" t="str">
        <f>IF(G3&lt;H3, C3, "Не ответ")</f>
        <v>Не ответ</v>
      </c>
    </row>
    <row r="4" spans="1:9" x14ac:dyDescent="0.25">
      <c r="A4">
        <f t="shared" ref="A4:A21" si="1">IF(D3*F3&lt;0,A3,C3)</f>
        <v>0.30434782608695654</v>
      </c>
      <c r="B4">
        <f t="shared" ref="B4:B21" si="2">IF(D3*F3&lt;0,C3,B3)</f>
        <v>1</v>
      </c>
      <c r="C4">
        <f t="shared" ref="C4:C21" si="3">(A4*E4-B4*D4)/(E4-D4)</f>
        <v>0.31771281169389515</v>
      </c>
      <c r="D4">
        <f t="shared" ref="D4:D21" si="4">A4^3+3*A4-1</f>
        <v>-5.8765513273608905E-2</v>
      </c>
      <c r="E4">
        <f t="shared" ref="E4:E21" si="5">B4^3+3*B4-1</f>
        <v>3</v>
      </c>
      <c r="F4">
        <f t="shared" ref="F4:F21" si="6">C4^3+3*C4-1</f>
        <v>-1.4791179149625244E-2</v>
      </c>
      <c r="G4">
        <f t="shared" ref="G4:G21" si="7">ABS(C4-A4)</f>
        <v>1.3364985606938606E-2</v>
      </c>
      <c r="H4">
        <v>0.01</v>
      </c>
      <c r="I4" t="str">
        <f t="shared" ref="I4:I21" si="8">IF(G4&lt;H4, C4, "Не ответ")</f>
        <v>Не ответ</v>
      </c>
    </row>
    <row r="5" spans="1:9" x14ac:dyDescent="0.25">
      <c r="A5">
        <f t="shared" si="1"/>
        <v>0.31771281169389515</v>
      </c>
      <c r="B5">
        <f t="shared" si="2"/>
        <v>1</v>
      </c>
      <c r="C5">
        <f t="shared" si="3"/>
        <v>0.3210602515111286</v>
      </c>
      <c r="D5">
        <f t="shared" si="4"/>
        <v>-1.4791179149625244E-2</v>
      </c>
      <c r="E5">
        <f t="shared" si="5"/>
        <v>3</v>
      </c>
      <c r="F5">
        <f t="shared" si="6"/>
        <v>-3.7244558425952867E-3</v>
      </c>
      <c r="G5">
        <f t="shared" si="7"/>
        <v>3.3474398172334552E-3</v>
      </c>
      <c r="H5">
        <v>0.01</v>
      </c>
      <c r="I5">
        <f t="shared" si="8"/>
        <v>0.3210602515111286</v>
      </c>
    </row>
    <row r="6" spans="1:9" x14ac:dyDescent="0.25">
      <c r="A6">
        <f t="shared" si="1"/>
        <v>0.3210602515111286</v>
      </c>
      <c r="B6">
        <f t="shared" si="2"/>
        <v>1</v>
      </c>
      <c r="C6">
        <f t="shared" si="3"/>
        <v>0.32190210007287368</v>
      </c>
      <c r="D6">
        <f t="shared" si="4"/>
        <v>-3.7244558425952867E-3</v>
      </c>
      <c r="E6">
        <f t="shared" si="5"/>
        <v>3</v>
      </c>
      <c r="F6">
        <f t="shared" si="6"/>
        <v>-9.3789449192349661E-4</v>
      </c>
      <c r="G6">
        <f t="shared" si="7"/>
        <v>8.4184856174507328E-4</v>
      </c>
      <c r="H6">
        <v>0.01</v>
      </c>
      <c r="I6">
        <f t="shared" si="8"/>
        <v>0.32190210007287368</v>
      </c>
    </row>
    <row r="7" spans="1:9" x14ac:dyDescent="0.25">
      <c r="A7">
        <f t="shared" si="1"/>
        <v>0.32190210007287368</v>
      </c>
      <c r="B7">
        <f t="shared" si="2"/>
        <v>1</v>
      </c>
      <c r="C7">
        <f t="shared" si="3"/>
        <v>0.32211402857912297</v>
      </c>
      <c r="D7">
        <f t="shared" si="4"/>
        <v>-9.3789449192349661E-4</v>
      </c>
      <c r="E7">
        <f t="shared" si="5"/>
        <v>3</v>
      </c>
      <c r="F7">
        <f t="shared" si="6"/>
        <v>-2.3618488312382446E-4</v>
      </c>
      <c r="G7">
        <f t="shared" si="7"/>
        <v>2.119285062492926E-4</v>
      </c>
      <c r="H7">
        <v>0.01</v>
      </c>
      <c r="I7">
        <f t="shared" si="8"/>
        <v>0.32211402857912297</v>
      </c>
    </row>
    <row r="8" spans="1:9" x14ac:dyDescent="0.25">
      <c r="A8">
        <f t="shared" si="1"/>
        <v>0.32211402857912297</v>
      </c>
      <c r="B8">
        <f t="shared" si="2"/>
        <v>1</v>
      </c>
      <c r="C8">
        <f t="shared" si="3"/>
        <v>0.32216739318412907</v>
      </c>
      <c r="D8">
        <f t="shared" si="4"/>
        <v>-2.3618488312382446E-4</v>
      </c>
      <c r="E8">
        <f t="shared" si="5"/>
        <v>3</v>
      </c>
      <c r="F8">
        <f t="shared" si="6"/>
        <v>-5.9477390430884292E-5</v>
      </c>
      <c r="G8">
        <f t="shared" si="7"/>
        <v>5.3364605006100962E-5</v>
      </c>
      <c r="H8">
        <v>0.01</v>
      </c>
      <c r="I8">
        <f t="shared" si="8"/>
        <v>0.32216739318412907</v>
      </c>
    </row>
    <row r="9" spans="1:9" x14ac:dyDescent="0.25">
      <c r="A9">
        <f t="shared" si="1"/>
        <v>0.32216739318412907</v>
      </c>
      <c r="B9">
        <f t="shared" si="2"/>
        <v>1</v>
      </c>
      <c r="C9">
        <f t="shared" si="3"/>
        <v>0.32218083148923804</v>
      </c>
      <c r="D9">
        <f t="shared" si="4"/>
        <v>-5.9477390430884292E-5</v>
      </c>
      <c r="E9">
        <f t="shared" si="5"/>
        <v>3</v>
      </c>
      <c r="F9">
        <f t="shared" si="6"/>
        <v>-1.4977941755645041E-5</v>
      </c>
      <c r="G9">
        <f t="shared" si="7"/>
        <v>1.3438305108970372E-5</v>
      </c>
      <c r="H9">
        <v>0.01</v>
      </c>
      <c r="I9">
        <f t="shared" si="8"/>
        <v>0.32218083148923804</v>
      </c>
    </row>
    <row r="10" spans="1:9" x14ac:dyDescent="0.25">
      <c r="A10">
        <f t="shared" si="1"/>
        <v>0.32218083148923804</v>
      </c>
      <c r="B10">
        <f t="shared" si="2"/>
        <v>1</v>
      </c>
      <c r="C10">
        <f t="shared" si="3"/>
        <v>0.3221842155843514</v>
      </c>
      <c r="D10">
        <f t="shared" si="4"/>
        <v>-1.4977941755645041E-5</v>
      </c>
      <c r="E10">
        <f t="shared" si="5"/>
        <v>3</v>
      </c>
      <c r="F10">
        <f t="shared" si="6"/>
        <v>-3.7718331721281473E-6</v>
      </c>
      <c r="G10">
        <f t="shared" si="7"/>
        <v>3.3840951133567998E-6</v>
      </c>
      <c r="H10">
        <v>0.01</v>
      </c>
      <c r="I10">
        <f t="shared" si="8"/>
        <v>0.3221842155843514</v>
      </c>
    </row>
    <row r="11" spans="1:9" x14ac:dyDescent="0.25">
      <c r="A11">
        <f t="shared" si="1"/>
        <v>0.3221842155843514</v>
      </c>
      <c r="B11">
        <f t="shared" si="2"/>
        <v>1</v>
      </c>
      <c r="C11">
        <f t="shared" si="3"/>
        <v>0.32218506778596673</v>
      </c>
      <c r="D11">
        <f t="shared" si="4"/>
        <v>-3.7718331721281473E-6</v>
      </c>
      <c r="E11">
        <f t="shared" si="5"/>
        <v>3</v>
      </c>
      <c r="F11">
        <f t="shared" si="6"/>
        <v>-9.4984521825658419E-7</v>
      </c>
      <c r="G11">
        <f t="shared" si="7"/>
        <v>8.5220161533117178E-7</v>
      </c>
      <c r="H11">
        <v>0.01</v>
      </c>
      <c r="I11">
        <f t="shared" si="8"/>
        <v>0.32218506778596673</v>
      </c>
    </row>
    <row r="12" spans="1:9" x14ac:dyDescent="0.25">
      <c r="A12">
        <f t="shared" si="1"/>
        <v>0.32218506778596673</v>
      </c>
      <c r="B12">
        <f t="shared" si="2"/>
        <v>1</v>
      </c>
      <c r="C12">
        <f t="shared" si="3"/>
        <v>0.3221852823923228</v>
      </c>
      <c r="D12">
        <f t="shared" si="4"/>
        <v>-9.4984521825658419E-7</v>
      </c>
      <c r="E12">
        <f t="shared" si="5"/>
        <v>3</v>
      </c>
      <c r="F12">
        <f t="shared" si="6"/>
        <v>-2.3919561442653503E-7</v>
      </c>
      <c r="G12">
        <f t="shared" si="7"/>
        <v>2.1460635607484235E-7</v>
      </c>
      <c r="H12">
        <v>0.01</v>
      </c>
      <c r="I12">
        <f t="shared" si="8"/>
        <v>0.3221852823923228</v>
      </c>
    </row>
    <row r="13" spans="1:9" x14ac:dyDescent="0.25">
      <c r="A13">
        <f t="shared" si="1"/>
        <v>0.3221852823923228</v>
      </c>
      <c r="B13">
        <f t="shared" si="2"/>
        <v>1</v>
      </c>
      <c r="C13">
        <f t="shared" si="3"/>
        <v>0.32218533643575442</v>
      </c>
      <c r="D13">
        <f t="shared" si="4"/>
        <v>-2.3919561442653503E-7</v>
      </c>
      <c r="E13">
        <f t="shared" si="5"/>
        <v>3</v>
      </c>
      <c r="F13">
        <f t="shared" si="6"/>
        <v>-6.023564802504211E-8</v>
      </c>
      <c r="G13">
        <f t="shared" si="7"/>
        <v>5.4043431618744364E-8</v>
      </c>
      <c r="H13">
        <v>0.01</v>
      </c>
      <c r="I13">
        <f t="shared" si="8"/>
        <v>0.32218533643575442</v>
      </c>
    </row>
    <row r="14" spans="1:9" x14ac:dyDescent="0.25">
      <c r="A14">
        <f t="shared" si="1"/>
        <v>0.32218533643575442</v>
      </c>
      <c r="B14">
        <f t="shared" si="2"/>
        <v>1</v>
      </c>
      <c r="C14">
        <f t="shared" si="3"/>
        <v>0.32218535004528931</v>
      </c>
      <c r="D14">
        <f t="shared" si="4"/>
        <v>-6.023564802504211E-8</v>
      </c>
      <c r="E14">
        <f t="shared" si="5"/>
        <v>3</v>
      </c>
      <c r="F14">
        <f t="shared" si="6"/>
        <v>-1.5168895584061204E-8</v>
      </c>
      <c r="G14">
        <f t="shared" si="7"/>
        <v>1.3609534887937258E-8</v>
      </c>
      <c r="H14">
        <v>0.01</v>
      </c>
      <c r="I14">
        <f t="shared" si="8"/>
        <v>0.32218535004528931</v>
      </c>
    </row>
    <row r="15" spans="1:9" x14ac:dyDescent="0.25">
      <c r="A15">
        <f t="shared" si="1"/>
        <v>0.32218535004528931</v>
      </c>
      <c r="B15">
        <f t="shared" si="2"/>
        <v>1</v>
      </c>
      <c r="C15">
        <f t="shared" si="3"/>
        <v>0.32218535347252253</v>
      </c>
      <c r="D15">
        <f t="shared" si="4"/>
        <v>-1.5168895584061204E-8</v>
      </c>
      <c r="E15">
        <f t="shared" si="5"/>
        <v>3</v>
      </c>
      <c r="F15">
        <f t="shared" si="6"/>
        <v>-3.8199204910327467E-9</v>
      </c>
      <c r="G15">
        <f t="shared" si="7"/>
        <v>3.427233219444048E-9</v>
      </c>
      <c r="H15">
        <v>0.01</v>
      </c>
      <c r="I15">
        <f t="shared" si="8"/>
        <v>0.32218535347252253</v>
      </c>
    </row>
    <row r="16" spans="1:9" x14ac:dyDescent="0.25">
      <c r="A16">
        <f t="shared" si="1"/>
        <v>0.32218535347252253</v>
      </c>
      <c r="B16">
        <f t="shared" si="2"/>
        <v>1</v>
      </c>
      <c r="C16">
        <f t="shared" si="3"/>
        <v>0.32218535433558854</v>
      </c>
      <c r="D16">
        <f t="shared" si="4"/>
        <v>-3.8199204910327467E-9</v>
      </c>
      <c r="E16">
        <f t="shared" si="5"/>
        <v>3</v>
      </c>
      <c r="F16">
        <f t="shared" si="6"/>
        <v>-9.6195496013251613E-10</v>
      </c>
      <c r="G16">
        <f t="shared" si="7"/>
        <v>8.6306600755037266E-10</v>
      </c>
      <c r="H16">
        <v>0.01</v>
      </c>
      <c r="I16">
        <f t="shared" si="8"/>
        <v>0.32218535433558854</v>
      </c>
    </row>
    <row r="17" spans="1:9" x14ac:dyDescent="0.25">
      <c r="A17">
        <f t="shared" si="1"/>
        <v>0.32218535433558854</v>
      </c>
      <c r="B17">
        <f t="shared" si="2"/>
        <v>1</v>
      </c>
      <c r="C17">
        <f t="shared" si="3"/>
        <v>0.3221853545529309</v>
      </c>
      <c r="D17">
        <f t="shared" si="4"/>
        <v>-9.6195496013251613E-10</v>
      </c>
      <c r="E17">
        <f t="shared" si="5"/>
        <v>3</v>
      </c>
      <c r="F17">
        <f t="shared" si="6"/>
        <v>-2.4224522388038849E-10</v>
      </c>
      <c r="G17">
        <f t="shared" si="7"/>
        <v>2.1734236632653392E-10</v>
      </c>
      <c r="H17">
        <v>0.01</v>
      </c>
      <c r="I17">
        <f t="shared" si="8"/>
        <v>0.3221853545529309</v>
      </c>
    </row>
    <row r="18" spans="1:9" x14ac:dyDescent="0.25">
      <c r="A18">
        <f t="shared" si="1"/>
        <v>0.3221853545529309</v>
      </c>
      <c r="B18">
        <f t="shared" si="2"/>
        <v>1</v>
      </c>
      <c r="C18">
        <f t="shared" si="3"/>
        <v>0.32218535460766334</v>
      </c>
      <c r="D18">
        <f t="shared" si="4"/>
        <v>-2.4224522388038849E-10</v>
      </c>
      <c r="E18">
        <f t="shared" si="5"/>
        <v>3</v>
      </c>
      <c r="F18">
        <f t="shared" si="6"/>
        <v>-6.1003646578683401E-11</v>
      </c>
      <c r="G18">
        <f t="shared" si="7"/>
        <v>5.4732440801785742E-11</v>
      </c>
      <c r="H18">
        <v>0.01</v>
      </c>
      <c r="I18">
        <f t="shared" si="8"/>
        <v>0.32218535460766334</v>
      </c>
    </row>
    <row r="19" spans="1:9" x14ac:dyDescent="0.25">
      <c r="A19">
        <f t="shared" si="1"/>
        <v>0.32218535460766334</v>
      </c>
      <c r="B19">
        <f t="shared" si="2"/>
        <v>1</v>
      </c>
      <c r="C19">
        <f t="shared" si="3"/>
        <v>0.32218535462144637</v>
      </c>
      <c r="D19">
        <f t="shared" si="4"/>
        <v>-6.1003646578683401E-11</v>
      </c>
      <c r="E19">
        <f t="shared" si="5"/>
        <v>3</v>
      </c>
      <c r="F19">
        <f t="shared" si="6"/>
        <v>-1.5362378036343216E-11</v>
      </c>
      <c r="G19">
        <f t="shared" si="7"/>
        <v>1.37830302726627E-11</v>
      </c>
      <c r="H19">
        <v>0.01</v>
      </c>
      <c r="I19">
        <f t="shared" si="8"/>
        <v>0.32218535462144637</v>
      </c>
    </row>
    <row r="20" spans="1:9" x14ac:dyDescent="0.25">
      <c r="A20">
        <f t="shared" si="1"/>
        <v>0.32218535462144637</v>
      </c>
      <c r="B20">
        <f t="shared" si="2"/>
        <v>1</v>
      </c>
      <c r="C20">
        <f t="shared" si="3"/>
        <v>0.32218535462491732</v>
      </c>
      <c r="D20">
        <f t="shared" si="4"/>
        <v>-1.5362378036343216E-11</v>
      </c>
      <c r="E20">
        <f t="shared" si="5"/>
        <v>3</v>
      </c>
      <c r="F20">
        <f t="shared" si="6"/>
        <v>-3.8686831516088205E-12</v>
      </c>
      <c r="G20">
        <f t="shared" si="7"/>
        <v>3.4709457530368582E-12</v>
      </c>
      <c r="H20">
        <v>0.01</v>
      </c>
      <c r="I20">
        <f t="shared" si="8"/>
        <v>0.32218535462491732</v>
      </c>
    </row>
    <row r="21" spans="1:9" x14ac:dyDescent="0.25">
      <c r="A21">
        <f t="shared" si="1"/>
        <v>0.32218535462491732</v>
      </c>
      <c r="B21">
        <f t="shared" si="2"/>
        <v>1</v>
      </c>
      <c r="C21">
        <f t="shared" si="3"/>
        <v>0.32218535462579134</v>
      </c>
      <c r="D21">
        <f t="shared" si="4"/>
        <v>-3.8686831516088205E-12</v>
      </c>
      <c r="E21">
        <f t="shared" si="5"/>
        <v>3</v>
      </c>
      <c r="F21">
        <f t="shared" si="6"/>
        <v>-9.7433172641103738E-13</v>
      </c>
      <c r="G21">
        <f t="shared" si="7"/>
        <v>8.7402307613615449E-13</v>
      </c>
      <c r="H21">
        <v>0.01</v>
      </c>
      <c r="I21">
        <f t="shared" si="8"/>
        <v>0.32218535462579134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236-D571-40AC-9BC0-67D35102D9C7}">
  <dimension ref="A1:J17"/>
  <sheetViews>
    <sheetView zoomScaleNormal="100" workbookViewId="0">
      <selection activeCell="A6" sqref="A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5</v>
      </c>
      <c r="G1" t="s">
        <v>9</v>
      </c>
      <c r="H1" t="s">
        <v>14</v>
      </c>
      <c r="I1" t="s">
        <v>15</v>
      </c>
    </row>
    <row r="2" spans="1:10" x14ac:dyDescent="0.25">
      <c r="A2">
        <v>0</v>
      </c>
      <c r="B2">
        <v>1</v>
      </c>
      <c r="C2">
        <f>IF(ABS(D2)&lt;ABS(E2),B2-0.618*(B2-A2),A2+0.618*(B2-A2))</f>
        <v>0.61799999999999999</v>
      </c>
      <c r="D2">
        <f>(A2^3 )+A2 -1</f>
        <v>-1</v>
      </c>
      <c r="E2">
        <f>(B2^3)+B2-1</f>
        <v>1</v>
      </c>
      <c r="F2">
        <f>(C2^3)+C2 -1</f>
        <v>-0.14597096799999998</v>
      </c>
      <c r="H2">
        <v>0.01</v>
      </c>
    </row>
    <row r="3" spans="1:10" x14ac:dyDescent="0.25">
      <c r="A3">
        <f>IF(D2*F2&lt;0,A2,C2)</f>
        <v>0.61799999999999999</v>
      </c>
      <c r="B3">
        <f>IF(D2*F2&lt;0,C2,B2)</f>
        <v>1</v>
      </c>
      <c r="C3">
        <f>(A3+B3)/2</f>
        <v>0.80899999999999994</v>
      </c>
      <c r="D3">
        <f>(A3^3 )+A3 -1</f>
        <v>-0.14597096799999998</v>
      </c>
      <c r="E3">
        <f>(B3^3)+B3-1</f>
        <v>1</v>
      </c>
      <c r="F3">
        <f>(C3^3)+C3 -1</f>
        <v>0.33847512899999987</v>
      </c>
      <c r="G3">
        <f>ABS(C2-C3)</f>
        <v>0.19099999999999995</v>
      </c>
      <c r="H3">
        <v>0.01</v>
      </c>
      <c r="I3" t="str">
        <f>IF(G3&lt;H3, C3, "Не ответ")</f>
        <v>Не ответ</v>
      </c>
      <c r="J3" t="s">
        <v>11</v>
      </c>
    </row>
    <row r="4" spans="1:10" x14ac:dyDescent="0.25">
      <c r="A4">
        <f t="shared" ref="A4:A8" si="0">IF(D3*F3&lt;0,A3,C3)</f>
        <v>0.61799999999999999</v>
      </c>
      <c r="B4">
        <f t="shared" ref="B4:B8" si="1">IF(D3*F3&lt;0,C3,B3)</f>
        <v>0.80899999999999994</v>
      </c>
      <c r="C4">
        <f t="shared" ref="C4:C8" si="2">(A4+B4)/2</f>
        <v>0.71350000000000002</v>
      </c>
      <c r="D4">
        <f t="shared" ref="D4:D8" si="3">(A4^3 )+A4 -1</f>
        <v>-0.14597096799999998</v>
      </c>
      <c r="E4">
        <f t="shared" ref="E4:E8" si="4">(B4^3)+B4-1</f>
        <v>0.33847512899999987</v>
      </c>
      <c r="F4">
        <f t="shared" ref="F4:F8" si="5">(C4^3)+C4 -1</f>
        <v>7.6730185375000204E-2</v>
      </c>
      <c r="G4">
        <f t="shared" ref="G4:G8" si="6">ABS(C3-C4)</f>
        <v>9.5499999999999918E-2</v>
      </c>
      <c r="H4">
        <v>0.01</v>
      </c>
      <c r="I4" t="str">
        <f t="shared" ref="I4:I7" si="7">IF(G4&lt;H4, C4, "Не ответ")</f>
        <v>Не ответ</v>
      </c>
    </row>
    <row r="5" spans="1:10" x14ac:dyDescent="0.25">
      <c r="A5">
        <f t="shared" si="0"/>
        <v>0.61799999999999999</v>
      </c>
      <c r="B5">
        <f t="shared" si="1"/>
        <v>0.71350000000000002</v>
      </c>
      <c r="C5">
        <f t="shared" si="2"/>
        <v>0.66575000000000006</v>
      </c>
      <c r="D5">
        <f t="shared" si="3"/>
        <v>-0.14597096799999998</v>
      </c>
      <c r="E5">
        <f t="shared" si="4"/>
        <v>7.6730185375000204E-2</v>
      </c>
      <c r="F5">
        <f t="shared" si="5"/>
        <v>-3.9174246140624813E-2</v>
      </c>
      <c r="G5">
        <f t="shared" si="6"/>
        <v>4.7749999999999959E-2</v>
      </c>
      <c r="H5">
        <v>0.01</v>
      </c>
      <c r="I5" t="str">
        <f t="shared" si="7"/>
        <v>Не ответ</v>
      </c>
    </row>
    <row r="6" spans="1:10" x14ac:dyDescent="0.25">
      <c r="A6">
        <f t="shared" si="0"/>
        <v>0.66575000000000006</v>
      </c>
      <c r="B6">
        <f t="shared" si="1"/>
        <v>0.71350000000000002</v>
      </c>
      <c r="C6">
        <f t="shared" si="2"/>
        <v>0.68962500000000004</v>
      </c>
      <c r="D6">
        <f t="shared" si="3"/>
        <v>-3.9174246140624813E-2</v>
      </c>
      <c r="E6">
        <f t="shared" si="4"/>
        <v>7.6730185375000204E-2</v>
      </c>
      <c r="F6">
        <f t="shared" si="5"/>
        <v>1.7598678541015822E-2</v>
      </c>
      <c r="G6">
        <f t="shared" si="6"/>
        <v>2.387499999999998E-2</v>
      </c>
      <c r="H6">
        <v>0.01</v>
      </c>
      <c r="I6" t="str">
        <f t="shared" si="7"/>
        <v>Не ответ</v>
      </c>
    </row>
    <row r="7" spans="1:10" x14ac:dyDescent="0.25">
      <c r="A7">
        <f t="shared" si="0"/>
        <v>0.66575000000000006</v>
      </c>
      <c r="B7">
        <f t="shared" si="1"/>
        <v>0.68962500000000004</v>
      </c>
      <c r="C7">
        <f t="shared" si="2"/>
        <v>0.6776875</v>
      </c>
      <c r="D7">
        <f t="shared" si="3"/>
        <v>-3.9174246140624813E-2</v>
      </c>
      <c r="E7">
        <f t="shared" si="4"/>
        <v>1.7598678541015822E-2</v>
      </c>
      <c r="F7">
        <f t="shared" si="5"/>
        <v>-1.1077503147705059E-2</v>
      </c>
      <c r="G7">
        <f t="shared" si="6"/>
        <v>1.1937500000000045E-2</v>
      </c>
      <c r="H7">
        <v>0.01</v>
      </c>
      <c r="I7" t="str">
        <f t="shared" si="7"/>
        <v>Не ответ</v>
      </c>
    </row>
    <row r="8" spans="1:10" x14ac:dyDescent="0.25">
      <c r="A8">
        <f t="shared" si="0"/>
        <v>0.6776875</v>
      </c>
      <c r="B8">
        <f t="shared" si="1"/>
        <v>0.68962500000000004</v>
      </c>
      <c r="C8">
        <f t="shared" si="2"/>
        <v>0.68365625000000008</v>
      </c>
      <c r="D8">
        <f t="shared" si="3"/>
        <v>-1.1077503147705059E-2</v>
      </c>
      <c r="E8">
        <f t="shared" si="4"/>
        <v>1.7598678541015822E-2</v>
      </c>
      <c r="F8">
        <f t="shared" si="5"/>
        <v>3.1875199320374747E-3</v>
      </c>
      <c r="G8">
        <f t="shared" si="6"/>
        <v>5.9687500000000782E-3</v>
      </c>
      <c r="H8">
        <v>0.01</v>
      </c>
      <c r="I8">
        <f>IF(G8&lt;H8, C8, "Не ответ")</f>
        <v>0.68365625000000008</v>
      </c>
    </row>
    <row r="9" spans="1:10" x14ac:dyDescent="0.25">
      <c r="A9">
        <f>IF(D8*F8&lt;0,A8,C8)</f>
        <v>0.6776875</v>
      </c>
      <c r="B9">
        <f>IF(D8*F8&lt;0,C8,B8)</f>
        <v>0.68365625000000008</v>
      </c>
      <c r="C9">
        <f>(A9+B9)/2</f>
        <v>0.68067187500000004</v>
      </c>
      <c r="D9">
        <f>(A9^3 )+A9 -1</f>
        <v>-1.1077503147705059E-2</v>
      </c>
      <c r="E9">
        <f>(B9^3)+B9-1</f>
        <v>3.1875199320374747E-3</v>
      </c>
      <c r="F9">
        <f>(C9^3)+C9 -1</f>
        <v>-3.9631788080328745E-3</v>
      </c>
      <c r="G9">
        <f>ABS(C8-C9)</f>
        <v>2.9843750000000391E-3</v>
      </c>
      <c r="H9">
        <v>0.01</v>
      </c>
      <c r="I9">
        <f>IF(G9&lt;H9, C9, "Не ответ")</f>
        <v>0.68067187500000004</v>
      </c>
    </row>
    <row r="10" spans="1:10" x14ac:dyDescent="0.25">
      <c r="A10">
        <f t="shared" ref="A10:A12" si="8">IF(D9*F9&lt;0,A9,C9)</f>
        <v>0.68067187500000004</v>
      </c>
      <c r="B10">
        <f t="shared" ref="B10:B12" si="9">IF(D9*F9&lt;0,C9,B9)</f>
        <v>0.68365625000000008</v>
      </c>
      <c r="C10">
        <f t="shared" ref="C10:C12" si="10">(A10+B10)/2</f>
        <v>0.68216406250000006</v>
      </c>
      <c r="D10">
        <f t="shared" ref="D10:D12" si="11">(A10^3 )+A10 -1</f>
        <v>-3.9631788080328745E-3</v>
      </c>
      <c r="E10">
        <f t="shared" ref="E10:E12" si="12">(B10^3)+B10-1</f>
        <v>3.1875199320374747E-3</v>
      </c>
      <c r="F10">
        <f t="shared" ref="F10:F12" si="13">(C10^3)+C10 -1</f>
        <v>-3.9238620566695026E-4</v>
      </c>
      <c r="G10">
        <f t="shared" ref="G10:G12" si="14">ABS(C9-C10)</f>
        <v>1.4921875000000195E-3</v>
      </c>
      <c r="H10">
        <v>0.01</v>
      </c>
      <c r="I10">
        <f t="shared" ref="I10:I12" si="15">IF(G10&lt;H10, C10, "Не ответ")</f>
        <v>0.68216406250000006</v>
      </c>
    </row>
    <row r="11" spans="1:10" x14ac:dyDescent="0.25">
      <c r="A11">
        <f t="shared" si="8"/>
        <v>0.68216406250000006</v>
      </c>
      <c r="B11">
        <f t="shared" si="9"/>
        <v>0.68365625000000008</v>
      </c>
      <c r="C11">
        <f t="shared" si="10"/>
        <v>0.68291015625000007</v>
      </c>
      <c r="D11">
        <f t="shared" si="11"/>
        <v>-3.9238620566695026E-4</v>
      </c>
      <c r="E11">
        <f t="shared" si="12"/>
        <v>3.1875199320374747E-3</v>
      </c>
      <c r="F11">
        <f t="shared" si="13"/>
        <v>1.3964264253156777E-3</v>
      </c>
      <c r="G11">
        <f t="shared" si="14"/>
        <v>7.4609375000000977E-4</v>
      </c>
      <c r="H11">
        <v>0.01</v>
      </c>
      <c r="I11">
        <f t="shared" si="15"/>
        <v>0.68291015625000007</v>
      </c>
    </row>
    <row r="12" spans="1:10" x14ac:dyDescent="0.25">
      <c r="A12">
        <f t="shared" si="8"/>
        <v>0.68216406250000006</v>
      </c>
      <c r="B12">
        <f t="shared" si="9"/>
        <v>0.68291015625000007</v>
      </c>
      <c r="C12">
        <f t="shared" si="10"/>
        <v>0.68253710937500012</v>
      </c>
      <c r="D12">
        <f t="shared" si="11"/>
        <v>-3.9238620566695026E-4</v>
      </c>
      <c r="E12">
        <f t="shared" si="12"/>
        <v>1.3964264253156777E-3</v>
      </c>
      <c r="F12">
        <f t="shared" si="13"/>
        <v>5.0173515610119068E-4</v>
      </c>
      <c r="G12">
        <f t="shared" si="14"/>
        <v>3.7304687499994937E-4</v>
      </c>
      <c r="H12">
        <v>0.01</v>
      </c>
      <c r="I12">
        <f t="shared" si="15"/>
        <v>0.68253710937500012</v>
      </c>
    </row>
    <row r="17" spans="5:5" x14ac:dyDescent="0.25">
      <c r="E17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2285-2A94-4A94-BBD5-6F90D6E3E1AB}">
  <dimension ref="A1:H14"/>
  <sheetViews>
    <sheetView tabSelected="1" zoomScale="151" workbookViewId="0">
      <selection activeCell="F5" sqref="F5"/>
    </sheetView>
  </sheetViews>
  <sheetFormatPr defaultRowHeight="15" x14ac:dyDescent="0.25"/>
  <sheetData>
    <row r="1" spans="1:8" x14ac:dyDescent="0.25">
      <c r="A1" t="s">
        <v>2</v>
      </c>
      <c r="B1" t="s">
        <v>16</v>
      </c>
      <c r="C1" t="s">
        <v>17</v>
      </c>
      <c r="D1" t="s">
        <v>18</v>
      </c>
      <c r="E1" t="s">
        <v>19</v>
      </c>
    </row>
    <row r="2" spans="1:8" x14ac:dyDescent="0.25">
      <c r="A2">
        <v>0.5</v>
      </c>
      <c r="B2">
        <f>A2^3+3*A2-1</f>
        <v>0.625</v>
      </c>
      <c r="C2">
        <f>ABS(B2)/D2</f>
        <v>0.10416666666666667</v>
      </c>
      <c r="D2">
        <v>6</v>
      </c>
      <c r="E2">
        <v>0.01</v>
      </c>
      <c r="H2" t="s">
        <v>20</v>
      </c>
    </row>
    <row r="3" spans="1:8" x14ac:dyDescent="0.25">
      <c r="A3">
        <f>A2-B2/D2</f>
        <v>0.39583333333333331</v>
      </c>
      <c r="B3">
        <f>A3^3+3*A3-1</f>
        <v>0.24952076099537046</v>
      </c>
      <c r="C3">
        <f>ABS(B3)/D3</f>
        <v>4.1586793499228412E-2</v>
      </c>
      <c r="D3">
        <v>6</v>
      </c>
      <c r="E3">
        <v>0.01</v>
      </c>
      <c r="F3" t="str">
        <f>IF(C3&lt;E3, A3, "Не ответ")</f>
        <v>Не ответ</v>
      </c>
    </row>
    <row r="4" spans="1:8" x14ac:dyDescent="0.25">
      <c r="A4">
        <f t="shared" ref="A4:A14" si="0">A3-B3/D3</f>
        <v>0.35424653983410492</v>
      </c>
      <c r="B4">
        <f t="shared" ref="B4:B14" si="1">A4^3+3*A4-1</f>
        <v>0.10719423422521901</v>
      </c>
      <c r="C4">
        <f t="shared" ref="C4:C14" si="2">ABS(B4)/D4</f>
        <v>1.7865705704203167E-2</v>
      </c>
      <c r="D4">
        <v>6</v>
      </c>
      <c r="E4">
        <v>0.01</v>
      </c>
      <c r="F4" t="str">
        <f t="shared" ref="F4:F14" si="3">IF(C4&lt;E4, A4, "Не ответ")</f>
        <v>Не ответ</v>
      </c>
    </row>
    <row r="5" spans="1:8" x14ac:dyDescent="0.25">
      <c r="A5">
        <f t="shared" si="0"/>
        <v>0.33638083412990177</v>
      </c>
      <c r="B5">
        <f t="shared" si="1"/>
        <v>4.7204688589639332E-2</v>
      </c>
      <c r="C5">
        <f t="shared" si="2"/>
        <v>7.867448098273222E-3</v>
      </c>
      <c r="D5">
        <v>6</v>
      </c>
      <c r="E5">
        <v>0.01</v>
      </c>
      <c r="F5" s="1">
        <f t="shared" si="3"/>
        <v>0.33638083412990177</v>
      </c>
    </row>
    <row r="6" spans="1:8" x14ac:dyDescent="0.25">
      <c r="A6">
        <f t="shared" si="0"/>
        <v>0.32851338603162855</v>
      </c>
      <c r="B6">
        <f t="shared" si="1"/>
        <v>2.0993665946850593E-2</v>
      </c>
      <c r="C6">
        <f t="shared" si="2"/>
        <v>3.4989443244750986E-3</v>
      </c>
      <c r="D6">
        <v>6</v>
      </c>
      <c r="E6">
        <v>0.01</v>
      </c>
      <c r="F6">
        <f t="shared" si="3"/>
        <v>0.32851338603162855</v>
      </c>
    </row>
    <row r="7" spans="1:8" x14ac:dyDescent="0.25">
      <c r="A7">
        <f t="shared" si="0"/>
        <v>0.32501444170715343</v>
      </c>
      <c r="B7">
        <f t="shared" si="1"/>
        <v>9.3760265407663024E-3</v>
      </c>
      <c r="C7">
        <f t="shared" si="2"/>
        <v>1.562671090127717E-3</v>
      </c>
      <c r="D7">
        <v>6</v>
      </c>
      <c r="E7">
        <v>0.01</v>
      </c>
      <c r="F7">
        <f t="shared" si="3"/>
        <v>0.32501444170715343</v>
      </c>
    </row>
    <row r="8" spans="1:8" x14ac:dyDescent="0.25">
      <c r="A8">
        <f t="shared" si="0"/>
        <v>0.32345177061702574</v>
      </c>
      <c r="B8">
        <f t="shared" si="1"/>
        <v>4.1951750430861967E-3</v>
      </c>
      <c r="C8">
        <f t="shared" si="2"/>
        <v>6.9919584051436612E-4</v>
      </c>
      <c r="D8">
        <v>6</v>
      </c>
      <c r="E8">
        <v>0.01</v>
      </c>
      <c r="F8">
        <f t="shared" si="3"/>
        <v>0.32345177061702574</v>
      </c>
    </row>
    <row r="9" spans="1:8" x14ac:dyDescent="0.25">
      <c r="A9">
        <f t="shared" si="0"/>
        <v>0.32275257477651137</v>
      </c>
      <c r="B9">
        <f t="shared" si="1"/>
        <v>1.8786097574075011E-3</v>
      </c>
      <c r="C9">
        <f t="shared" si="2"/>
        <v>3.1310162623458354E-4</v>
      </c>
      <c r="D9">
        <v>6</v>
      </c>
      <c r="E9">
        <v>0.01</v>
      </c>
      <c r="F9">
        <f t="shared" si="3"/>
        <v>0.32275257477651137</v>
      </c>
    </row>
    <row r="10" spans="1:8" x14ac:dyDescent="0.25">
      <c r="A10">
        <f t="shared" si="0"/>
        <v>0.32243947315027677</v>
      </c>
      <c r="B10">
        <f t="shared" si="1"/>
        <v>8.4155310805233974E-4</v>
      </c>
      <c r="C10">
        <f t="shared" si="2"/>
        <v>1.4025885134205662E-4</v>
      </c>
      <c r="D10">
        <v>6</v>
      </c>
      <c r="E10">
        <v>0.01</v>
      </c>
      <c r="F10">
        <f t="shared" si="3"/>
        <v>0.32243947315027677</v>
      </c>
    </row>
    <row r="11" spans="1:8" x14ac:dyDescent="0.25">
      <c r="A11">
        <f t="shared" si="0"/>
        <v>0.32229921429893471</v>
      </c>
      <c r="B11">
        <f t="shared" si="1"/>
        <v>3.7704861490883701E-4</v>
      </c>
      <c r="C11">
        <f t="shared" si="2"/>
        <v>6.2841435818139502E-5</v>
      </c>
      <c r="D11">
        <v>6</v>
      </c>
      <c r="E11">
        <v>0.01</v>
      </c>
      <c r="F11">
        <f t="shared" si="3"/>
        <v>0.32229921429893471</v>
      </c>
    </row>
    <row r="12" spans="1:8" x14ac:dyDescent="0.25">
      <c r="A12">
        <f t="shared" si="0"/>
        <v>0.32223637286311657</v>
      </c>
      <c r="B12">
        <f t="shared" si="1"/>
        <v>1.6894482685247958E-4</v>
      </c>
      <c r="C12">
        <f t="shared" si="2"/>
        <v>2.8157471142079931E-5</v>
      </c>
      <c r="D12">
        <v>6</v>
      </c>
      <c r="E12">
        <v>0.01</v>
      </c>
      <c r="F12">
        <f t="shared" si="3"/>
        <v>0.32223637286311657</v>
      </c>
    </row>
    <row r="13" spans="1:8" x14ac:dyDescent="0.25">
      <c r="A13">
        <f t="shared" si="0"/>
        <v>0.32220821539197447</v>
      </c>
      <c r="B13">
        <f t="shared" si="1"/>
        <v>7.5701878680112245E-5</v>
      </c>
      <c r="C13">
        <f t="shared" si="2"/>
        <v>1.2616979780018708E-5</v>
      </c>
      <c r="D13">
        <v>6</v>
      </c>
      <c r="E13">
        <v>0.01</v>
      </c>
      <c r="F13">
        <f t="shared" si="3"/>
        <v>0.32220821539197447</v>
      </c>
    </row>
    <row r="14" spans="1:8" x14ac:dyDescent="0.25">
      <c r="A14">
        <f t="shared" si="0"/>
        <v>0.32219559841219447</v>
      </c>
      <c r="B14">
        <f t="shared" si="1"/>
        <v>3.3921479318355097E-5</v>
      </c>
      <c r="C14">
        <f t="shared" si="2"/>
        <v>5.6535798863925164E-6</v>
      </c>
      <c r="D14">
        <v>6</v>
      </c>
      <c r="E14">
        <v>0.01</v>
      </c>
      <c r="F14">
        <f t="shared" si="3"/>
        <v>0.32219559841219447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AE7A-A746-4C8B-8E4C-9FB90CC4728C}">
  <dimension ref="A1:F15"/>
  <sheetViews>
    <sheetView zoomScale="150" workbookViewId="0">
      <selection activeCell="I9" sqref="I9"/>
    </sheetView>
  </sheetViews>
  <sheetFormatPr defaultRowHeight="15" x14ac:dyDescent="0.25"/>
  <cols>
    <col min="2" max="2" width="16.140625" style="4" bestFit="1" customWidth="1"/>
  </cols>
  <sheetData>
    <row r="1" spans="1:6" x14ac:dyDescent="0.25">
      <c r="A1" s="2" t="s">
        <v>2</v>
      </c>
      <c r="B1" s="3" t="s">
        <v>16</v>
      </c>
      <c r="C1" s="2" t="s">
        <v>21</v>
      </c>
      <c r="D1" s="2" t="s">
        <v>17</v>
      </c>
      <c r="E1" s="2" t="s">
        <v>19</v>
      </c>
    </row>
    <row r="2" spans="1:6" x14ac:dyDescent="0.25">
      <c r="A2">
        <v>0.5</v>
      </c>
      <c r="B2" s="4">
        <f>A2^3+3*A2-1</f>
        <v>0.625</v>
      </c>
      <c r="C2">
        <f>3*A2^2+3</f>
        <v>3.75</v>
      </c>
      <c r="D2">
        <f>ABS(B2/C2)</f>
        <v>0.16666666666666666</v>
      </c>
      <c r="E2">
        <v>0.01</v>
      </c>
      <c r="F2">
        <f ca="1">IF(E2&lt;F2,D2,"Не ответ")</f>
        <v>0</v>
      </c>
    </row>
    <row r="3" spans="1:6" x14ac:dyDescent="0.25">
      <c r="A3">
        <f>A2-B2/C2</f>
        <v>0.33333333333333337</v>
      </c>
      <c r="B3" s="4">
        <f>A3^3+3*A3-1</f>
        <v>3.7037037037036979E-2</v>
      </c>
      <c r="C3">
        <f>3*A3^2+3</f>
        <v>3.3333333333333335</v>
      </c>
      <c r="D3">
        <f>ABS(B3/C3)</f>
        <v>1.1111111111111094E-2</v>
      </c>
      <c r="E3">
        <v>0.01</v>
      </c>
      <c r="F3" t="str">
        <f>IF(D3&lt;E3, A3, "Не ответ")</f>
        <v>Не ответ</v>
      </c>
    </row>
    <row r="4" spans="1:6" x14ac:dyDescent="0.25">
      <c r="A4">
        <f t="shared" ref="A4:A15" si="0">A3-B3/C3</f>
        <v>0.3222222222222223</v>
      </c>
      <c r="B4" s="4">
        <f t="shared" ref="B4:B15" si="1">A4^3+3*A4-1</f>
        <v>1.2208504801125564E-4</v>
      </c>
      <c r="C4">
        <f t="shared" ref="C4:C15" si="2">3*A4^2+3</f>
        <v>3.3114814814814815</v>
      </c>
      <c r="D4">
        <f t="shared" ref="D4:D15" si="3">ABS(B4/C4)</f>
        <v>3.686719937707082E-5</v>
      </c>
      <c r="E4">
        <v>0.01</v>
      </c>
      <c r="F4">
        <f t="shared" ref="F4:F15" si="4">IF(D4&lt;E4, A4, "Не ответ")</f>
        <v>0.3222222222222223</v>
      </c>
    </row>
    <row r="5" spans="1:6" x14ac:dyDescent="0.25">
      <c r="A5">
        <f t="shared" si="0"/>
        <v>0.32218535502284523</v>
      </c>
      <c r="B5" s="4">
        <f t="shared" si="1"/>
        <v>1.3138339305385216E-9</v>
      </c>
      <c r="C5">
        <f t="shared" si="2"/>
        <v>3.3114102089735904</v>
      </c>
      <c r="D5">
        <f t="shared" si="3"/>
        <v>3.9675964245630552E-10</v>
      </c>
      <c r="E5">
        <v>0.01</v>
      </c>
      <c r="F5">
        <f t="shared" si="4"/>
        <v>0.32218535502284523</v>
      </c>
    </row>
    <row r="6" spans="1:6" x14ac:dyDescent="0.25">
      <c r="A6">
        <f t="shared" si="0"/>
        <v>0.32218535462608561</v>
      </c>
      <c r="B6" s="4">
        <f t="shared" si="1"/>
        <v>0</v>
      </c>
      <c r="C6">
        <f t="shared" si="2"/>
        <v>3.3114102082066097</v>
      </c>
      <c r="D6">
        <f t="shared" si="3"/>
        <v>0</v>
      </c>
      <c r="E6">
        <v>0.01</v>
      </c>
      <c r="F6">
        <f t="shared" si="4"/>
        <v>0.32218535462608561</v>
      </c>
    </row>
    <row r="7" spans="1:6" x14ac:dyDescent="0.25">
      <c r="A7">
        <f t="shared" si="0"/>
        <v>0.32218535462608561</v>
      </c>
      <c r="B7" s="4">
        <f t="shared" si="1"/>
        <v>0</v>
      </c>
      <c r="C7">
        <f t="shared" si="2"/>
        <v>3.3114102082066097</v>
      </c>
      <c r="D7">
        <f t="shared" si="3"/>
        <v>0</v>
      </c>
      <c r="E7">
        <v>0.01</v>
      </c>
      <c r="F7">
        <f t="shared" si="4"/>
        <v>0.32218535462608561</v>
      </c>
    </row>
    <row r="8" spans="1:6" x14ac:dyDescent="0.25">
      <c r="A8">
        <f t="shared" si="0"/>
        <v>0.32218535462608561</v>
      </c>
      <c r="B8" s="4">
        <f t="shared" si="1"/>
        <v>0</v>
      </c>
      <c r="C8">
        <f t="shared" si="2"/>
        <v>3.3114102082066097</v>
      </c>
      <c r="D8">
        <f t="shared" si="3"/>
        <v>0</v>
      </c>
      <c r="E8">
        <v>0.01</v>
      </c>
      <c r="F8">
        <f t="shared" si="4"/>
        <v>0.32218535462608561</v>
      </c>
    </row>
    <row r="9" spans="1:6" x14ac:dyDescent="0.25">
      <c r="A9">
        <f t="shared" si="0"/>
        <v>0.32218535462608561</v>
      </c>
      <c r="B9" s="4">
        <f t="shared" si="1"/>
        <v>0</v>
      </c>
      <c r="C9">
        <f t="shared" si="2"/>
        <v>3.3114102082066097</v>
      </c>
      <c r="D9">
        <f t="shared" si="3"/>
        <v>0</v>
      </c>
      <c r="E9">
        <v>0.01</v>
      </c>
      <c r="F9">
        <f t="shared" si="4"/>
        <v>0.32218535462608561</v>
      </c>
    </row>
    <row r="10" spans="1:6" x14ac:dyDescent="0.25">
      <c r="A10">
        <f t="shared" si="0"/>
        <v>0.32218535462608561</v>
      </c>
      <c r="B10" s="4">
        <f t="shared" si="1"/>
        <v>0</v>
      </c>
      <c r="C10">
        <f t="shared" si="2"/>
        <v>3.3114102082066097</v>
      </c>
      <c r="D10">
        <f t="shared" si="3"/>
        <v>0</v>
      </c>
      <c r="E10">
        <v>0.01</v>
      </c>
      <c r="F10">
        <f t="shared" si="4"/>
        <v>0.32218535462608561</v>
      </c>
    </row>
    <row r="11" spans="1:6" x14ac:dyDescent="0.25">
      <c r="A11">
        <f t="shared" si="0"/>
        <v>0.32218535462608561</v>
      </c>
      <c r="B11" s="4">
        <f t="shared" si="1"/>
        <v>0</v>
      </c>
      <c r="C11">
        <f t="shared" si="2"/>
        <v>3.3114102082066097</v>
      </c>
      <c r="D11">
        <f t="shared" si="3"/>
        <v>0</v>
      </c>
      <c r="E11">
        <v>0.01</v>
      </c>
      <c r="F11">
        <f t="shared" si="4"/>
        <v>0.32218535462608561</v>
      </c>
    </row>
    <row r="12" spans="1:6" x14ac:dyDescent="0.25">
      <c r="A12">
        <f t="shared" si="0"/>
        <v>0.32218535462608561</v>
      </c>
      <c r="B12" s="4">
        <f t="shared" si="1"/>
        <v>0</v>
      </c>
      <c r="C12">
        <f t="shared" si="2"/>
        <v>3.3114102082066097</v>
      </c>
      <c r="D12">
        <f t="shared" si="3"/>
        <v>0</v>
      </c>
      <c r="E12">
        <v>0.01</v>
      </c>
      <c r="F12">
        <f t="shared" si="4"/>
        <v>0.32218535462608561</v>
      </c>
    </row>
    <row r="13" spans="1:6" x14ac:dyDescent="0.25">
      <c r="A13">
        <f t="shared" si="0"/>
        <v>0.32218535462608561</v>
      </c>
      <c r="B13" s="4">
        <f t="shared" si="1"/>
        <v>0</v>
      </c>
      <c r="C13">
        <f t="shared" si="2"/>
        <v>3.3114102082066097</v>
      </c>
      <c r="D13">
        <f t="shared" si="3"/>
        <v>0</v>
      </c>
      <c r="E13">
        <v>0.01</v>
      </c>
      <c r="F13">
        <f t="shared" si="4"/>
        <v>0.32218535462608561</v>
      </c>
    </row>
    <row r="14" spans="1:6" x14ac:dyDescent="0.25">
      <c r="A14">
        <f t="shared" si="0"/>
        <v>0.32218535462608561</v>
      </c>
      <c r="B14" s="4">
        <f t="shared" si="1"/>
        <v>0</v>
      </c>
      <c r="C14">
        <f t="shared" si="2"/>
        <v>3.3114102082066097</v>
      </c>
      <c r="D14">
        <f t="shared" si="3"/>
        <v>0</v>
      </c>
      <c r="E14">
        <v>0.01</v>
      </c>
      <c r="F14">
        <f t="shared" si="4"/>
        <v>0.32218535462608561</v>
      </c>
    </row>
    <row r="15" spans="1:6" x14ac:dyDescent="0.25">
      <c r="A15">
        <f t="shared" si="0"/>
        <v>0.32218535462608561</v>
      </c>
      <c r="B15" s="4">
        <f t="shared" si="1"/>
        <v>0</v>
      </c>
      <c r="C15">
        <f t="shared" si="2"/>
        <v>3.3114102082066097</v>
      </c>
      <c r="D15">
        <f t="shared" si="3"/>
        <v>0</v>
      </c>
      <c r="E15">
        <v>0.01</v>
      </c>
      <c r="F15">
        <f t="shared" si="4"/>
        <v>0.32218535462608561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метод деления на два</vt:lpstr>
      <vt:lpstr>Метод хорд</vt:lpstr>
      <vt:lpstr>Метод золотого сечения </vt:lpstr>
      <vt:lpstr>метод простых итераций</vt:lpstr>
      <vt:lpstr>мотод ньютена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</dc:creator>
  <cp:lastModifiedBy>nazarbragin228@gmail.com</cp:lastModifiedBy>
  <dcterms:created xsi:type="dcterms:W3CDTF">2015-06-05T18:17:20Z</dcterms:created>
  <dcterms:modified xsi:type="dcterms:W3CDTF">2026-09-25T08:29:36Z</dcterms:modified>
</cp:coreProperties>
</file>